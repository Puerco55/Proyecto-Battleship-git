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" sheetId="1" r:id="rId4"/>
    <sheet state="visible" name="HorasTotales" sheetId="2" r:id="rId5"/>
    <sheet state="visible" name="Iker Diaz" sheetId="3" r:id="rId6"/>
    <sheet state="visible" name="Ian Anaya" sheetId="4" r:id="rId7"/>
    <sheet state="visible" name="Iñigo Fernandez" sheetId="5" r:id="rId8"/>
    <sheet state="visible" name="Xabier Diaz" sheetId="6" r:id="rId9"/>
    <sheet state="visible" name="Ekaitz Ureta" sheetId="7" r:id="rId10"/>
  </sheets>
  <definedNames/>
  <calcPr/>
</workbook>
</file>

<file path=xl/sharedStrings.xml><?xml version="1.0" encoding="utf-8"?>
<sst xmlns="http://schemas.openxmlformats.org/spreadsheetml/2006/main" count="45" uniqueCount="28">
  <si>
    <t>SEMANA</t>
  </si>
  <si>
    <t>TOTAL HORAS</t>
  </si>
  <si>
    <t>TAREA</t>
  </si>
  <si>
    <t>Planifs</t>
  </si>
  <si>
    <t>Reales</t>
  </si>
  <si>
    <t>Faltan/
Sobran</t>
  </si>
  <si>
    <t>T1</t>
  </si>
  <si>
    <t>Configuración del Proyecto y Estructura Base</t>
  </si>
  <si>
    <t>T2</t>
  </si>
  <si>
    <t>Sistema de Menú Principal e Interfaz de Navegación</t>
  </si>
  <si>
    <t>T3</t>
  </si>
  <si>
    <t>Sistema de Configuración de Partida</t>
  </si>
  <si>
    <t>T4</t>
  </si>
  <si>
    <t>Sistema de Colocación de Barcos</t>
  </si>
  <si>
    <t>T5</t>
  </si>
  <si>
    <t>Juego principal y Lógica de Turnos</t>
  </si>
  <si>
    <t>T6</t>
  </si>
  <si>
    <t>Sistema de Disparos Especiales</t>
  </si>
  <si>
    <t>T7</t>
  </si>
  <si>
    <t>Sistema de Cronómetro con Hilos</t>
  </si>
  <si>
    <t>T8</t>
  </si>
  <si>
    <t xml:space="preserve">Sistema de Base de Datos </t>
  </si>
  <si>
    <t>T9</t>
  </si>
  <si>
    <t>Interfaz de Estadísticas</t>
  </si>
  <si>
    <t>T10</t>
  </si>
  <si>
    <t>Pantalla de Transición e Integración Final</t>
  </si>
  <si>
    <t>Total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</si>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</sst>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9">
    <font>
      <sz val="10.0"/>
      <color rgb="FF000000"/>
      <name val="Arial"/>
      <scheme val="minor"/>
    </font>
    <font>
      <b/>
      <sz val="11.0"/>
      <color rgb="FF000000"/>
      <name val="Spectral"/>
    </font>
    <font>
      <b/>
      <sz val="11.0"/>
      <color theme="1"/>
      <name val="Spectral"/>
    </font>
    <font>
      <b/>
      <sz val="11.0"/>
      <color rgb="FFFFFFFF"/>
      <name val="Spectral"/>
    </font>
    <font/>
    <font>
      <b/>
      <sz val="11.0"/>
      <color rgb="FF783F04"/>
      <name val="Spectral"/>
    </font>
    <font>
      <sz val="11.0"/>
      <color theme="1"/>
      <name val="Spectral"/>
    </font>
    <font>
      <sz val="11.0"/>
      <color rgb="FF000000"/>
      <name val="Spectral"/>
    </font>
    <font>
      <sz val="11.0"/>
      <color rgb="FFFFFFFF"/>
      <name val="Spectral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theme="7"/>
        <bgColor theme="7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1" numFmtId="0" xfId="0" applyAlignment="1" applyFont="1">
      <alignment horizontal="center" vertical="center"/>
    </xf>
    <xf borderId="1" fillId="3" fontId="5" numFmtId="0" xfId="0" applyAlignment="1" applyBorder="1" applyFill="1" applyFont="1">
      <alignment horizontal="center" readingOrder="0" vertical="center"/>
    </xf>
    <xf borderId="4" fillId="2" fontId="3" numFmtId="0" xfId="0" applyAlignment="1" applyBorder="1" applyFont="1">
      <alignment horizontal="left" readingOrder="0" vertical="center"/>
    </xf>
    <xf borderId="5" fillId="0" fontId="4" numFmtId="0" xfId="0" applyBorder="1" applyFont="1"/>
    <xf borderId="6" fillId="2" fontId="3" numFmtId="164" xfId="0" applyAlignment="1" applyBorder="1" applyFont="1" applyNumberFormat="1">
      <alignment horizontal="center" vertical="center"/>
    </xf>
    <xf borderId="6" fillId="3" fontId="5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readingOrder="0"/>
    </xf>
    <xf borderId="0" fillId="0" fontId="7" numFmtId="0" xfId="0" applyAlignment="1" applyFont="1">
      <alignment horizontal="center" vertical="center"/>
    </xf>
    <xf borderId="6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vertical="center"/>
    </xf>
    <xf borderId="6" fillId="0" fontId="6" numFmtId="0" xfId="0" applyAlignment="1" applyBorder="1" applyFont="1">
      <alignment readingOrder="0" shrinkToFit="0" wrapText="1"/>
    </xf>
    <xf borderId="0" fillId="0" fontId="6" numFmtId="0" xfId="0" applyAlignment="1" applyFont="1">
      <alignment horizontal="center"/>
    </xf>
    <xf borderId="6" fillId="2" fontId="3" numFmtId="0" xfId="0" applyAlignment="1" applyBorder="1" applyFont="1">
      <alignment readingOrder="0"/>
    </xf>
    <xf borderId="6" fillId="2" fontId="8" numFmtId="0" xfId="0" applyAlignment="1" applyBorder="1" applyFont="1">
      <alignment horizontal="center" vertical="center"/>
    </xf>
    <xf borderId="0" fillId="0" fontId="6" numFmtId="0" xfId="0" applyFont="1"/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6" fillId="2" fontId="3" numFmtId="164" xfId="0" applyAlignment="1" applyBorder="1" applyFont="1" applyNumberForma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6" fillId="0" fontId="6" numFmtId="0" xfId="0" applyBorder="1" applyFont="1"/>
    <xf borderId="6" fillId="0" fontId="6" numFmtId="0" xfId="0" applyAlignment="1" applyBorder="1" applyFont="1">
      <alignment horizontal="center"/>
    </xf>
    <xf borderId="6" fillId="3" fontId="5" numFmtId="0" xfId="0" applyAlignment="1" applyBorder="1" applyFont="1">
      <alignment horizontal="left" vertical="center"/>
    </xf>
    <xf borderId="6" fillId="2" fontId="3" numFmtId="0" xfId="0" applyAlignment="1" applyBorder="1" applyFont="1">
      <alignment horizontal="left" readingOrder="0" vertical="center"/>
    </xf>
    <xf borderId="6" fillId="0" fontId="6" numFmtId="0" xfId="0" applyAlignment="1" applyBorder="1" applyFont="1">
      <alignment horizontal="left" vertical="center"/>
    </xf>
    <xf borderId="6" fillId="3" fontId="5" numFmtId="0" xfId="0" applyAlignment="1" applyBorder="1" applyFont="1">
      <alignment horizontal="left" readingOrder="0" vertical="center"/>
    </xf>
    <xf borderId="6" fillId="0" fontId="6" numFmtId="0" xfId="0" applyAlignment="1" applyBorder="1" applyFont="1">
      <alignment horizontal="center" vertical="center"/>
    </xf>
    <xf borderId="0" fillId="3" fontId="5" numFmtId="0" xfId="0" applyAlignment="1" applyFon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7.63"/>
    <col customWidth="1" min="2" max="2" width="43.38"/>
    <col customWidth="1" min="3" max="19" width="7.63"/>
    <col customWidth="1" min="20" max="20" width="8.13"/>
    <col customWidth="1" min="21" max="23" width="10.25"/>
  </cols>
  <sheetData>
    <row r="1" ht="15.7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6"/>
      <c r="U1" s="7" t="s">
        <v>1</v>
      </c>
      <c r="V1" s="4"/>
      <c r="W1" s="5"/>
    </row>
    <row r="2">
      <c r="A2" s="8" t="s">
        <v>2</v>
      </c>
      <c r="B2" s="9"/>
      <c r="C2" s="10">
        <v>45936.0</v>
      </c>
      <c r="D2" s="10">
        <f t="shared" ref="D2:S2" si="1">C2+7</f>
        <v>45943</v>
      </c>
      <c r="E2" s="10">
        <f t="shared" si="1"/>
        <v>45950</v>
      </c>
      <c r="F2" s="10">
        <f t="shared" si="1"/>
        <v>45957</v>
      </c>
      <c r="G2" s="10">
        <f t="shared" si="1"/>
        <v>45964</v>
      </c>
      <c r="H2" s="10">
        <f t="shared" si="1"/>
        <v>45971</v>
      </c>
      <c r="I2" s="10">
        <f t="shared" si="1"/>
        <v>45978</v>
      </c>
      <c r="J2" s="10">
        <f t="shared" si="1"/>
        <v>45985</v>
      </c>
      <c r="K2" s="10">
        <f t="shared" si="1"/>
        <v>45992</v>
      </c>
      <c r="L2" s="10">
        <f t="shared" si="1"/>
        <v>45999</v>
      </c>
      <c r="M2" s="10">
        <f t="shared" si="1"/>
        <v>46006</v>
      </c>
      <c r="N2" s="10">
        <f t="shared" si="1"/>
        <v>46013</v>
      </c>
      <c r="O2" s="10">
        <f t="shared" si="1"/>
        <v>46020</v>
      </c>
      <c r="P2" s="10">
        <f t="shared" si="1"/>
        <v>46027</v>
      </c>
      <c r="Q2" s="10">
        <f t="shared" si="1"/>
        <v>46034</v>
      </c>
      <c r="R2" s="10">
        <f t="shared" si="1"/>
        <v>46041</v>
      </c>
      <c r="S2" s="10">
        <f t="shared" si="1"/>
        <v>46048</v>
      </c>
      <c r="T2" s="6"/>
      <c r="U2" s="11" t="s">
        <v>3</v>
      </c>
      <c r="V2" s="11" t="s">
        <v>4</v>
      </c>
      <c r="W2" s="12" t="s">
        <v>5</v>
      </c>
    </row>
    <row r="3" ht="15.75" customHeight="1">
      <c r="A3" s="13" t="s">
        <v>6</v>
      </c>
      <c r="B3" s="14" t="s">
        <v>7</v>
      </c>
      <c r="C3" s="13">
        <f>HorasTotales!B2</f>
        <v>2</v>
      </c>
      <c r="D3" s="13">
        <f>HorasTotales!C2</f>
        <v>3</v>
      </c>
      <c r="E3" s="13">
        <f>HorasTotales!D2</f>
        <v>0</v>
      </c>
      <c r="F3" s="13">
        <f>HorasTotales!E2</f>
        <v>1</v>
      </c>
      <c r="G3" s="13">
        <f>HorasTotales!F2</f>
        <v>0</v>
      </c>
      <c r="H3" s="13">
        <f>HorasTotales!G2</f>
        <v>0</v>
      </c>
      <c r="I3" s="13">
        <f>HorasTotales!H2</f>
        <v>0</v>
      </c>
      <c r="J3" s="13">
        <f>HorasTotales!I2</f>
        <v>0</v>
      </c>
      <c r="K3" s="13">
        <f>HorasTotales!J2</f>
        <v>0</v>
      </c>
      <c r="L3" s="13">
        <f>HorasTotales!K2</f>
        <v>0</v>
      </c>
      <c r="M3" s="13">
        <f>HorasTotales!L2</f>
        <v>0</v>
      </c>
      <c r="N3" s="13">
        <f>HorasTotales!M2</f>
        <v>0</v>
      </c>
      <c r="O3" s="13">
        <f>HorasTotales!N2</f>
        <v>0</v>
      </c>
      <c r="P3" s="13">
        <f>HorasTotales!O2</f>
        <v>0</v>
      </c>
      <c r="Q3" s="13">
        <f>HorasTotales!P2</f>
        <v>0</v>
      </c>
      <c r="R3" s="13">
        <f>HorasTotales!Q2</f>
        <v>0</v>
      </c>
      <c r="S3" s="13">
        <f>HorasTotales!R2</f>
        <v>0</v>
      </c>
      <c r="T3" s="15"/>
      <c r="U3" s="16">
        <v>7.0</v>
      </c>
      <c r="V3" s="16">
        <f t="shared" ref="V3:V12" si="2">SUM(C3:S3)</f>
        <v>6</v>
      </c>
      <c r="W3" s="17">
        <f t="shared" ref="W3:W12" si="3">U3-V3</f>
        <v>1</v>
      </c>
    </row>
    <row r="4" ht="15.75" customHeight="1">
      <c r="A4" s="13" t="s">
        <v>8</v>
      </c>
      <c r="B4" s="14" t="s">
        <v>9</v>
      </c>
      <c r="C4" s="13">
        <f>HorasTotales!B3</f>
        <v>0</v>
      </c>
      <c r="D4" s="13">
        <f>HorasTotales!C3</f>
        <v>0</v>
      </c>
      <c r="E4" s="13">
        <f>HorasTotales!D3</f>
        <v>0.5</v>
      </c>
      <c r="F4" s="13">
        <f>HorasTotales!E3</f>
        <v>6.5</v>
      </c>
      <c r="G4" s="13">
        <f>HorasTotales!F3</f>
        <v>1</v>
      </c>
      <c r="H4" s="13">
        <f>HorasTotales!G3</f>
        <v>0</v>
      </c>
      <c r="I4" s="13">
        <f>HorasTotales!H3</f>
        <v>1</v>
      </c>
      <c r="J4" s="13">
        <f>HorasTotales!I3</f>
        <v>2</v>
      </c>
      <c r="K4" s="13">
        <f>HorasTotales!J3</f>
        <v>0</v>
      </c>
      <c r="L4" s="13">
        <f>HorasTotales!K3</f>
        <v>0</v>
      </c>
      <c r="M4" s="13">
        <f>HorasTotales!L3</f>
        <v>0</v>
      </c>
      <c r="N4" s="13">
        <f>HorasTotales!M3</f>
        <v>0</v>
      </c>
      <c r="O4" s="13">
        <f>HorasTotales!N3</f>
        <v>0</v>
      </c>
      <c r="P4" s="13">
        <f>HorasTotales!O3</f>
        <v>0</v>
      </c>
      <c r="Q4" s="13">
        <f>HorasTotales!P3</f>
        <v>0</v>
      </c>
      <c r="R4" s="13">
        <f>HorasTotales!Q3</f>
        <v>0</v>
      </c>
      <c r="S4" s="13">
        <f>HorasTotales!R3</f>
        <v>0</v>
      </c>
      <c r="T4" s="15"/>
      <c r="U4" s="16">
        <v>18.0</v>
      </c>
      <c r="V4" s="16">
        <f t="shared" si="2"/>
        <v>11</v>
      </c>
      <c r="W4" s="17">
        <f t="shared" si="3"/>
        <v>7</v>
      </c>
    </row>
    <row r="5" ht="15.75" customHeight="1">
      <c r="A5" s="13" t="s">
        <v>10</v>
      </c>
      <c r="B5" s="14" t="s">
        <v>11</v>
      </c>
      <c r="C5" s="13">
        <f>HorasTotales!B4</f>
        <v>0</v>
      </c>
      <c r="D5" s="13">
        <f>HorasTotales!C4</f>
        <v>0</v>
      </c>
      <c r="E5" s="13">
        <f>HorasTotales!D4</f>
        <v>2</v>
      </c>
      <c r="F5" s="13">
        <f>HorasTotales!E4</f>
        <v>5.5</v>
      </c>
      <c r="G5" s="13">
        <f>HorasTotales!F4</f>
        <v>0.5</v>
      </c>
      <c r="H5" s="13">
        <f>HorasTotales!G4</f>
        <v>0</v>
      </c>
      <c r="I5" s="13">
        <f>HorasTotales!H4</f>
        <v>3.5</v>
      </c>
      <c r="J5" s="13">
        <f>HorasTotales!I4</f>
        <v>5</v>
      </c>
      <c r="K5" s="13">
        <f>HorasTotales!J4</f>
        <v>0</v>
      </c>
      <c r="L5" s="13">
        <f>HorasTotales!K4</f>
        <v>0</v>
      </c>
      <c r="M5" s="13">
        <f>HorasTotales!L4</f>
        <v>0</v>
      </c>
      <c r="N5" s="13">
        <f>HorasTotales!M4</f>
        <v>2</v>
      </c>
      <c r="O5" s="13">
        <f>HorasTotales!N4</f>
        <v>1</v>
      </c>
      <c r="P5" s="13">
        <f>HorasTotales!O4</f>
        <v>0</v>
      </c>
      <c r="Q5" s="13">
        <f>HorasTotales!P4</f>
        <v>0</v>
      </c>
      <c r="R5" s="13">
        <f>HorasTotales!Q4</f>
        <v>0</v>
      </c>
      <c r="S5" s="13">
        <f>HorasTotales!R4</f>
        <v>0</v>
      </c>
      <c r="T5" s="15"/>
      <c r="U5" s="16">
        <v>32.0</v>
      </c>
      <c r="V5" s="16">
        <f t="shared" si="2"/>
        <v>19.5</v>
      </c>
      <c r="W5" s="17">
        <f t="shared" si="3"/>
        <v>12.5</v>
      </c>
    </row>
    <row r="6" ht="15.75" customHeight="1">
      <c r="A6" s="13" t="s">
        <v>12</v>
      </c>
      <c r="B6" s="14" t="s">
        <v>13</v>
      </c>
      <c r="C6" s="13">
        <f>HorasTotales!B5</f>
        <v>0</v>
      </c>
      <c r="D6" s="13">
        <f>HorasTotales!C5</f>
        <v>0</v>
      </c>
      <c r="E6" s="13">
        <f>HorasTotales!D5</f>
        <v>3</v>
      </c>
      <c r="F6" s="13">
        <f>HorasTotales!E5</f>
        <v>4</v>
      </c>
      <c r="G6" s="13">
        <f>HorasTotales!F5</f>
        <v>0</v>
      </c>
      <c r="H6" s="13">
        <f>HorasTotales!G5</f>
        <v>2</v>
      </c>
      <c r="I6" s="13">
        <f>HorasTotales!H5</f>
        <v>8</v>
      </c>
      <c r="J6" s="13">
        <f>HorasTotales!I5</f>
        <v>7</v>
      </c>
      <c r="K6" s="13">
        <f>HorasTotales!J5</f>
        <v>0</v>
      </c>
      <c r="L6" s="13">
        <f>HorasTotales!K5</f>
        <v>0</v>
      </c>
      <c r="M6" s="13">
        <f>HorasTotales!L5</f>
        <v>0</v>
      </c>
      <c r="N6" s="13">
        <f>HorasTotales!M5</f>
        <v>1</v>
      </c>
      <c r="O6" s="13">
        <f>HorasTotales!N5</f>
        <v>2</v>
      </c>
      <c r="P6" s="13">
        <f>HorasTotales!O5</f>
        <v>1</v>
      </c>
      <c r="Q6" s="13">
        <f>HorasTotales!P5</f>
        <v>0</v>
      </c>
      <c r="R6" s="13">
        <f>HorasTotales!Q5</f>
        <v>0</v>
      </c>
      <c r="S6" s="13">
        <f>HorasTotales!R5</f>
        <v>0</v>
      </c>
      <c r="T6" s="15"/>
      <c r="U6" s="16">
        <v>30.0</v>
      </c>
      <c r="V6" s="16">
        <f t="shared" si="2"/>
        <v>28</v>
      </c>
      <c r="W6" s="17">
        <f t="shared" si="3"/>
        <v>2</v>
      </c>
    </row>
    <row r="7" ht="15.75" customHeight="1">
      <c r="A7" s="13" t="s">
        <v>14</v>
      </c>
      <c r="B7" s="14" t="s">
        <v>15</v>
      </c>
      <c r="C7" s="13">
        <f>HorasTotales!B6</f>
        <v>0</v>
      </c>
      <c r="D7" s="13">
        <f>HorasTotales!C6</f>
        <v>0</v>
      </c>
      <c r="E7" s="13">
        <f>HorasTotales!D6</f>
        <v>0</v>
      </c>
      <c r="F7" s="13">
        <f>HorasTotales!E6</f>
        <v>1</v>
      </c>
      <c r="G7" s="13">
        <f>HorasTotales!F6</f>
        <v>0</v>
      </c>
      <c r="H7" s="13">
        <f>HorasTotales!G6</f>
        <v>0</v>
      </c>
      <c r="I7" s="13">
        <f>HorasTotales!H6</f>
        <v>9</v>
      </c>
      <c r="J7" s="13">
        <f>HorasTotales!I6</f>
        <v>15</v>
      </c>
      <c r="K7" s="13">
        <f>HorasTotales!J6</f>
        <v>0</v>
      </c>
      <c r="L7" s="13">
        <f>HorasTotales!K6</f>
        <v>0</v>
      </c>
      <c r="M7" s="13">
        <f>HorasTotales!L6</f>
        <v>0</v>
      </c>
      <c r="N7" s="13">
        <f>HorasTotales!M6</f>
        <v>6</v>
      </c>
      <c r="O7" s="13">
        <f>HorasTotales!N6</f>
        <v>5</v>
      </c>
      <c r="P7" s="13">
        <f>HorasTotales!O6</f>
        <v>2</v>
      </c>
      <c r="Q7" s="13">
        <f>HorasTotales!P6</f>
        <v>0</v>
      </c>
      <c r="R7" s="13">
        <f>HorasTotales!Q6</f>
        <v>0</v>
      </c>
      <c r="S7" s="13">
        <f>HorasTotales!R6</f>
        <v>0</v>
      </c>
      <c r="T7" s="15"/>
      <c r="U7" s="16">
        <v>33.0</v>
      </c>
      <c r="V7" s="16">
        <f t="shared" si="2"/>
        <v>38</v>
      </c>
      <c r="W7" s="17">
        <f t="shared" si="3"/>
        <v>-5</v>
      </c>
    </row>
    <row r="8" ht="15.75" customHeight="1">
      <c r="A8" s="13" t="s">
        <v>16</v>
      </c>
      <c r="B8" s="14" t="s">
        <v>17</v>
      </c>
      <c r="C8" s="13">
        <f>HorasTotales!B7</f>
        <v>0</v>
      </c>
      <c r="D8" s="13">
        <f>HorasTotales!C7</f>
        <v>0</v>
      </c>
      <c r="E8" s="13">
        <f>HorasTotales!D7</f>
        <v>0</v>
      </c>
      <c r="F8" s="13">
        <f>HorasTotales!E7</f>
        <v>0</v>
      </c>
      <c r="G8" s="13">
        <f>HorasTotales!F7</f>
        <v>0</v>
      </c>
      <c r="H8" s="13">
        <f>HorasTotales!G7</f>
        <v>0</v>
      </c>
      <c r="I8" s="13">
        <f>HorasTotales!H7</f>
        <v>4</v>
      </c>
      <c r="J8" s="13">
        <f>HorasTotales!I7</f>
        <v>3</v>
      </c>
      <c r="K8" s="13">
        <f>HorasTotales!J7</f>
        <v>6</v>
      </c>
      <c r="L8" s="13">
        <f>HorasTotales!K7</f>
        <v>0</v>
      </c>
      <c r="M8" s="13">
        <f>HorasTotales!L7</f>
        <v>3</v>
      </c>
      <c r="N8" s="13">
        <f>HorasTotales!M7</f>
        <v>1</v>
      </c>
      <c r="O8" s="13">
        <f>HorasTotales!N7</f>
        <v>5</v>
      </c>
      <c r="P8" s="13">
        <f>HorasTotales!O7</f>
        <v>1</v>
      </c>
      <c r="Q8" s="13">
        <f>HorasTotales!P7</f>
        <v>0</v>
      </c>
      <c r="R8" s="13">
        <f>HorasTotales!Q7</f>
        <v>0</v>
      </c>
      <c r="S8" s="13">
        <f>HorasTotales!R7</f>
        <v>0</v>
      </c>
      <c r="T8" s="15"/>
      <c r="U8" s="16">
        <v>26.0</v>
      </c>
      <c r="V8" s="16">
        <f t="shared" si="2"/>
        <v>23</v>
      </c>
      <c r="W8" s="17">
        <f t="shared" si="3"/>
        <v>3</v>
      </c>
    </row>
    <row r="9" ht="15.75" customHeight="1">
      <c r="A9" s="13" t="s">
        <v>18</v>
      </c>
      <c r="B9" s="14" t="s">
        <v>19</v>
      </c>
      <c r="C9" s="13">
        <f>HorasTotales!B8</f>
        <v>0</v>
      </c>
      <c r="D9" s="13">
        <f>HorasTotales!C8</f>
        <v>0</v>
      </c>
      <c r="E9" s="13">
        <f>HorasTotales!D8</f>
        <v>0</v>
      </c>
      <c r="F9" s="13">
        <f>HorasTotales!E8</f>
        <v>0</v>
      </c>
      <c r="G9" s="13">
        <f>HorasTotales!F8</f>
        <v>0</v>
      </c>
      <c r="H9" s="13">
        <f>HorasTotales!G8</f>
        <v>2</v>
      </c>
      <c r="I9" s="13">
        <f>HorasTotales!H8</f>
        <v>2</v>
      </c>
      <c r="J9" s="13">
        <f>HorasTotales!I8</f>
        <v>1</v>
      </c>
      <c r="K9" s="13">
        <f>HorasTotales!J8</f>
        <v>1</v>
      </c>
      <c r="L9" s="13">
        <f>HorasTotales!K8</f>
        <v>3</v>
      </c>
      <c r="M9" s="13">
        <f>HorasTotales!L8</f>
        <v>3</v>
      </c>
      <c r="N9" s="13">
        <f>HorasTotales!M8</f>
        <v>2</v>
      </c>
      <c r="O9" s="13">
        <f>HorasTotales!N8</f>
        <v>1</v>
      </c>
      <c r="P9" s="13">
        <f>HorasTotales!O8</f>
        <v>2</v>
      </c>
      <c r="Q9" s="13">
        <f>HorasTotales!P8</f>
        <v>0</v>
      </c>
      <c r="R9" s="13">
        <f>HorasTotales!Q8</f>
        <v>0</v>
      </c>
      <c r="S9" s="13">
        <f>HorasTotales!R8</f>
        <v>0</v>
      </c>
      <c r="T9" s="15"/>
      <c r="U9" s="16">
        <v>5.0</v>
      </c>
      <c r="V9" s="16">
        <f t="shared" si="2"/>
        <v>17</v>
      </c>
      <c r="W9" s="17">
        <f t="shared" si="3"/>
        <v>-12</v>
      </c>
    </row>
    <row r="10">
      <c r="A10" s="13" t="s">
        <v>20</v>
      </c>
      <c r="B10" s="18" t="s">
        <v>21</v>
      </c>
      <c r="C10" s="13">
        <f>HorasTotales!B9</f>
        <v>0</v>
      </c>
      <c r="D10" s="13">
        <f>HorasTotales!C9</f>
        <v>0</v>
      </c>
      <c r="E10" s="13">
        <f>HorasTotales!D9</f>
        <v>0</v>
      </c>
      <c r="F10" s="13">
        <f>HorasTotales!E9</f>
        <v>0</v>
      </c>
      <c r="G10" s="13">
        <f>HorasTotales!F9</f>
        <v>0</v>
      </c>
      <c r="H10" s="13">
        <f>HorasTotales!G9</f>
        <v>1</v>
      </c>
      <c r="I10" s="13">
        <f>HorasTotales!H9</f>
        <v>2</v>
      </c>
      <c r="J10" s="13">
        <f>HorasTotales!I9</f>
        <v>6</v>
      </c>
      <c r="K10" s="13">
        <f>HorasTotales!J9</f>
        <v>4</v>
      </c>
      <c r="L10" s="13">
        <f>HorasTotales!K9</f>
        <v>2</v>
      </c>
      <c r="M10" s="13">
        <f>HorasTotales!L9</f>
        <v>3</v>
      </c>
      <c r="N10" s="13">
        <f>HorasTotales!M9</f>
        <v>3</v>
      </c>
      <c r="O10" s="13">
        <f>HorasTotales!N9</f>
        <v>4</v>
      </c>
      <c r="P10" s="13">
        <f>HorasTotales!O9</f>
        <v>3</v>
      </c>
      <c r="Q10" s="13">
        <f>HorasTotales!P9</f>
        <v>0</v>
      </c>
      <c r="R10" s="13">
        <f>HorasTotales!Q9</f>
        <v>0</v>
      </c>
      <c r="S10" s="13">
        <f>HorasTotales!R9</f>
        <v>0</v>
      </c>
      <c r="T10" s="15"/>
      <c r="U10" s="16">
        <v>28.0</v>
      </c>
      <c r="V10" s="16">
        <f t="shared" si="2"/>
        <v>28</v>
      </c>
      <c r="W10" s="17">
        <f t="shared" si="3"/>
        <v>0</v>
      </c>
    </row>
    <row r="11">
      <c r="A11" s="13" t="s">
        <v>22</v>
      </c>
      <c r="B11" s="18" t="s">
        <v>23</v>
      </c>
      <c r="C11" s="13">
        <f>HorasTotales!B10</f>
        <v>0</v>
      </c>
      <c r="D11" s="13">
        <f>HorasTotales!C10</f>
        <v>0</v>
      </c>
      <c r="E11" s="13">
        <f>HorasTotales!D10</f>
        <v>0</v>
      </c>
      <c r="F11" s="13">
        <f>HorasTotales!E10</f>
        <v>0</v>
      </c>
      <c r="G11" s="13">
        <f>HorasTotales!F10</f>
        <v>0</v>
      </c>
      <c r="H11" s="13">
        <f>HorasTotales!G10</f>
        <v>1</v>
      </c>
      <c r="I11" s="13">
        <f>HorasTotales!H10</f>
        <v>2</v>
      </c>
      <c r="J11" s="13">
        <f>HorasTotales!I10</f>
        <v>6</v>
      </c>
      <c r="K11" s="13">
        <f>HorasTotales!J10</f>
        <v>1</v>
      </c>
      <c r="L11" s="13">
        <f>HorasTotales!K10</f>
        <v>5</v>
      </c>
      <c r="M11" s="13">
        <f>HorasTotales!L10</f>
        <v>4</v>
      </c>
      <c r="N11" s="13">
        <f>HorasTotales!M10</f>
        <v>3</v>
      </c>
      <c r="O11" s="13">
        <f>HorasTotales!N10</f>
        <v>1</v>
      </c>
      <c r="P11" s="13">
        <f>HorasTotales!O10</f>
        <v>3</v>
      </c>
      <c r="Q11" s="13">
        <f>HorasTotales!P10</f>
        <v>0</v>
      </c>
      <c r="R11" s="13">
        <f>HorasTotales!Q10</f>
        <v>0</v>
      </c>
      <c r="S11" s="13">
        <f>HorasTotales!R10</f>
        <v>0</v>
      </c>
      <c r="T11" s="15"/>
      <c r="U11" s="16">
        <v>22.0</v>
      </c>
      <c r="V11" s="16">
        <f t="shared" si="2"/>
        <v>26</v>
      </c>
      <c r="W11" s="17">
        <f t="shared" si="3"/>
        <v>-4</v>
      </c>
    </row>
    <row r="12" ht="15.75" customHeight="1">
      <c r="A12" s="13" t="s">
        <v>24</v>
      </c>
      <c r="B12" s="14" t="s">
        <v>25</v>
      </c>
      <c r="C12" s="13">
        <f>HorasTotales!B11</f>
        <v>0</v>
      </c>
      <c r="D12" s="13">
        <f>HorasTotales!C11</f>
        <v>0</v>
      </c>
      <c r="E12" s="13">
        <f>HorasTotales!D11</f>
        <v>0</v>
      </c>
      <c r="F12" s="13">
        <f>HorasTotales!E11</f>
        <v>0</v>
      </c>
      <c r="G12" s="13">
        <f>HorasTotales!F11</f>
        <v>0</v>
      </c>
      <c r="H12" s="13">
        <f>HorasTotales!G11</f>
        <v>0</v>
      </c>
      <c r="I12" s="13">
        <f>HorasTotales!H11</f>
        <v>0</v>
      </c>
      <c r="J12" s="13">
        <f>HorasTotales!I11</f>
        <v>5</v>
      </c>
      <c r="K12" s="13">
        <f>HorasTotales!J11</f>
        <v>2</v>
      </c>
      <c r="L12" s="13">
        <f>HorasTotales!K11</f>
        <v>2</v>
      </c>
      <c r="M12" s="13">
        <f>HorasTotales!L11</f>
        <v>2</v>
      </c>
      <c r="N12" s="13">
        <f>HorasTotales!M11</f>
        <v>2</v>
      </c>
      <c r="O12" s="13">
        <f>HorasTotales!N11</f>
        <v>0</v>
      </c>
      <c r="P12" s="13">
        <f>HorasTotales!O11</f>
        <v>0</v>
      </c>
      <c r="Q12" s="13">
        <f>HorasTotales!P11</f>
        <v>0</v>
      </c>
      <c r="R12" s="13">
        <f>HorasTotales!Q11</f>
        <v>0</v>
      </c>
      <c r="S12" s="13">
        <f>HorasTotales!R11</f>
        <v>0</v>
      </c>
      <c r="T12" s="15"/>
      <c r="U12" s="16">
        <v>19.0</v>
      </c>
      <c r="V12" s="16">
        <f t="shared" si="2"/>
        <v>13</v>
      </c>
      <c r="W12" s="17">
        <f t="shared" si="3"/>
        <v>6</v>
      </c>
    </row>
    <row r="13" ht="15.75" customHeight="1">
      <c r="A13" s="19"/>
      <c r="B13" s="20" t="s">
        <v>1</v>
      </c>
      <c r="C13" s="21">
        <f t="shared" ref="C13:S13" si="4">SUM(C5:C12)</f>
        <v>0</v>
      </c>
      <c r="D13" s="21">
        <f t="shared" si="4"/>
        <v>0</v>
      </c>
      <c r="E13" s="21">
        <f t="shared" si="4"/>
        <v>5</v>
      </c>
      <c r="F13" s="21">
        <f t="shared" si="4"/>
        <v>10.5</v>
      </c>
      <c r="G13" s="21">
        <f t="shared" si="4"/>
        <v>0.5</v>
      </c>
      <c r="H13" s="21">
        <f t="shared" si="4"/>
        <v>6</v>
      </c>
      <c r="I13" s="21">
        <f t="shared" si="4"/>
        <v>30.5</v>
      </c>
      <c r="J13" s="21">
        <f t="shared" si="4"/>
        <v>48</v>
      </c>
      <c r="K13" s="21">
        <f t="shared" si="4"/>
        <v>14</v>
      </c>
      <c r="L13" s="21">
        <f t="shared" si="4"/>
        <v>12</v>
      </c>
      <c r="M13" s="21">
        <f t="shared" si="4"/>
        <v>15</v>
      </c>
      <c r="N13" s="21">
        <f t="shared" si="4"/>
        <v>20</v>
      </c>
      <c r="O13" s="21">
        <f t="shared" si="4"/>
        <v>19</v>
      </c>
      <c r="P13" s="21">
        <f t="shared" si="4"/>
        <v>12</v>
      </c>
      <c r="Q13" s="21">
        <f t="shared" si="4"/>
        <v>0</v>
      </c>
      <c r="R13" s="21">
        <f t="shared" si="4"/>
        <v>0</v>
      </c>
      <c r="S13" s="21">
        <f t="shared" si="4"/>
        <v>0</v>
      </c>
      <c r="T13" s="15"/>
      <c r="U13" s="11">
        <f t="shared" ref="U13:V13" si="5">SUM(U3:U12)</f>
        <v>220</v>
      </c>
      <c r="V13" s="11">
        <f t="shared" si="5"/>
        <v>209.5</v>
      </c>
      <c r="W13" s="11">
        <f>SUM(W3,W5:W12)</f>
        <v>3.5</v>
      </c>
    </row>
    <row r="14" ht="15.75" customHeight="1">
      <c r="A14" s="19"/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4"/>
      <c r="V14" s="23"/>
      <c r="W14" s="23"/>
    </row>
    <row r="15" ht="15.75" customHeight="1">
      <c r="A15" s="19"/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 ht="15.75" customHeight="1">
      <c r="A16" s="19"/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 ht="15.75" customHeight="1">
      <c r="A17" s="19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</row>
  </sheetData>
  <mergeCells count="3">
    <mergeCell ref="C1:S1"/>
    <mergeCell ref="U1:W1"/>
    <mergeCell ref="A2:B2"/>
  </mergeCells>
  <conditionalFormatting sqref="W3:W12">
    <cfRule type="cellIs" dxfId="0" priority="1" operator="greaterThan">
      <formula>0</formula>
    </cfRule>
  </conditionalFormatting>
  <conditionalFormatting sqref="W3:W12">
    <cfRule type="cellIs" dxfId="1" priority="2" operator="lessThan">
      <formula>0</formula>
    </cfRule>
  </conditionalFormatting>
  <conditionalFormatting sqref="W13">
    <cfRule type="cellIs" dxfId="0" priority="3" operator="greaterThan">
      <formula>0</formula>
    </cfRule>
  </conditionalFormatting>
  <conditionalFormatting sqref="W13">
    <cfRule type="cellIs" dxfId="1" priority="4" operator="less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19" width="9.5"/>
  </cols>
  <sheetData>
    <row r="1" ht="15.75" customHeight="1">
      <c r="A1" s="25" t="s">
        <v>26</v>
      </c>
      <c r="B1" s="25">
        <f>Gantt!C2</f>
        <v>45936</v>
      </c>
      <c r="C1" s="25">
        <f t="shared" ref="C1:R1" si="1">B1+7</f>
        <v>45943</v>
      </c>
      <c r="D1" s="25">
        <f t="shared" si="1"/>
        <v>45950</v>
      </c>
      <c r="E1" s="25">
        <f t="shared" si="1"/>
        <v>45957</v>
      </c>
      <c r="F1" s="25">
        <f t="shared" si="1"/>
        <v>45964</v>
      </c>
      <c r="G1" s="25">
        <f t="shared" si="1"/>
        <v>45971</v>
      </c>
      <c r="H1" s="25">
        <f t="shared" si="1"/>
        <v>45978</v>
      </c>
      <c r="I1" s="25">
        <f t="shared" si="1"/>
        <v>45985</v>
      </c>
      <c r="J1" s="25">
        <f t="shared" si="1"/>
        <v>45992</v>
      </c>
      <c r="K1" s="25">
        <f t="shared" si="1"/>
        <v>45999</v>
      </c>
      <c r="L1" s="25">
        <f t="shared" si="1"/>
        <v>46006</v>
      </c>
      <c r="M1" s="25">
        <f t="shared" si="1"/>
        <v>46013</v>
      </c>
      <c r="N1" s="25">
        <f t="shared" si="1"/>
        <v>46020</v>
      </c>
      <c r="O1" s="25">
        <f t="shared" si="1"/>
        <v>46027</v>
      </c>
      <c r="P1" s="25">
        <f t="shared" si="1"/>
        <v>46034</v>
      </c>
      <c r="Q1" s="25">
        <f t="shared" si="1"/>
        <v>46041</v>
      </c>
      <c r="R1" s="25">
        <f t="shared" si="1"/>
        <v>46048</v>
      </c>
      <c r="S1" s="26" t="s">
        <v>27</v>
      </c>
    </row>
    <row r="2" ht="15.75" customHeight="1">
      <c r="A2" s="27" t="str">
        <f>Gantt!A3</f>
        <v>T1</v>
      </c>
      <c r="B2" s="28">
        <f>'Iker Diaz'!B2+'Ian Anaya'!B2+'Iñigo Fernandez'!B2+'Xabier Diaz'!B2+'Ekaitz Ureta'!B2</f>
        <v>2</v>
      </c>
      <c r="C2" s="28">
        <f>'Iker Diaz'!C2+'Ian Anaya'!C2+'Iñigo Fernandez'!C2+'Xabier Diaz'!C2+'Ekaitz Ureta'!C2</f>
        <v>3</v>
      </c>
      <c r="D2" s="28">
        <f>'Iker Diaz'!D2+'Ian Anaya'!D2+'Iñigo Fernandez'!D2+'Xabier Diaz'!D2+'Ekaitz Ureta'!D2</f>
        <v>0</v>
      </c>
      <c r="E2" s="28">
        <f>'Iker Diaz'!E2+'Ian Anaya'!E2+'Iñigo Fernandez'!E2+'Xabier Diaz'!E2+'Ekaitz Ureta'!E2</f>
        <v>1</v>
      </c>
      <c r="F2" s="28">
        <f>'Iker Diaz'!F2+'Ian Anaya'!F2+'Iñigo Fernandez'!F2+'Xabier Diaz'!F2+'Ekaitz Ureta'!F2</f>
        <v>0</v>
      </c>
      <c r="G2" s="28">
        <f>'Iker Diaz'!G2+'Ian Anaya'!G2+'Iñigo Fernandez'!G2+'Xabier Diaz'!G2+'Ekaitz Ureta'!G2</f>
        <v>0</v>
      </c>
      <c r="H2" s="28">
        <f>'Iker Diaz'!H2+'Ian Anaya'!H2+'Iñigo Fernandez'!H2+'Xabier Diaz'!H2+'Ekaitz Ureta'!H2</f>
        <v>0</v>
      </c>
      <c r="I2" s="28">
        <f>'Iker Diaz'!I2+'Ian Anaya'!I2+'Iñigo Fernandez'!I2+'Xabier Diaz'!I2+'Ekaitz Ureta'!I2</f>
        <v>0</v>
      </c>
      <c r="J2" s="28">
        <f>'Iker Diaz'!J2+'Ian Anaya'!J2+'Iñigo Fernandez'!J2+'Xabier Diaz'!J2+'Ekaitz Ureta'!J2</f>
        <v>0</v>
      </c>
      <c r="K2" s="28">
        <f>'Iker Diaz'!K2+'Ian Anaya'!K2+'Iñigo Fernandez'!K2+'Xabier Diaz'!K2+'Ekaitz Ureta'!K2</f>
        <v>0</v>
      </c>
      <c r="L2" s="28">
        <f>'Iker Diaz'!L2+'Ian Anaya'!L2+'Iñigo Fernandez'!L2+'Xabier Diaz'!L2+'Ekaitz Ureta'!L2</f>
        <v>0</v>
      </c>
      <c r="M2" s="28">
        <f>'Iker Diaz'!M2+'Ian Anaya'!M2+'Iñigo Fernandez'!M2+'Xabier Diaz'!M2+'Ekaitz Ureta'!M2</f>
        <v>0</v>
      </c>
      <c r="N2" s="28">
        <f>'Iker Diaz'!N2+'Ian Anaya'!N2+'Iñigo Fernandez'!N2+'Xabier Diaz'!N2+'Ekaitz Ureta'!N2</f>
        <v>0</v>
      </c>
      <c r="O2" s="28">
        <f>'Iker Diaz'!O2+'Ian Anaya'!O2+'Iñigo Fernandez'!O2+'Xabier Diaz'!O2+'Ekaitz Ureta'!O2</f>
        <v>0</v>
      </c>
      <c r="P2" s="28">
        <f>'Iker Diaz'!P2+'Ian Anaya'!P2+'Iñigo Fernandez'!P2+'Xabier Diaz'!P2+'Ekaitz Ureta'!P2</f>
        <v>0</v>
      </c>
      <c r="Q2" s="28">
        <f>'Iker Diaz'!Q2+'Ian Anaya'!Q2+'Iñigo Fernandez'!Q2+'Xabier Diaz'!Q2+'Ekaitz Ureta'!Q2</f>
        <v>0</v>
      </c>
      <c r="R2" s="28">
        <f>'Iker Diaz'!R2+'Ian Anaya'!R2+'Iñigo Fernandez'!R2+'Xabier Diaz'!R2+'Ekaitz Ureta'!R2</f>
        <v>0</v>
      </c>
      <c r="S2" s="11">
        <f t="shared" ref="S2:S11" si="2">SUM(B2:R2)</f>
        <v>6</v>
      </c>
    </row>
    <row r="3" ht="15.75" customHeight="1">
      <c r="A3" s="27" t="str">
        <f>Gantt!A4</f>
        <v>T2</v>
      </c>
      <c r="B3" s="28">
        <f>'Iker Diaz'!B3+'Ian Anaya'!B3+'Iñigo Fernandez'!B3+'Xabier Diaz'!B3+'Ekaitz Ureta'!B3</f>
        <v>0</v>
      </c>
      <c r="C3" s="28">
        <f>'Iker Diaz'!C3+'Ian Anaya'!C3+'Iñigo Fernandez'!C3+'Xabier Diaz'!C3+'Ekaitz Ureta'!C3</f>
        <v>0</v>
      </c>
      <c r="D3" s="28">
        <f>'Iker Diaz'!D3+'Ian Anaya'!D3+'Iñigo Fernandez'!D3+'Xabier Diaz'!D3+'Ekaitz Ureta'!D3</f>
        <v>0.5</v>
      </c>
      <c r="E3" s="28">
        <f>'Iker Diaz'!E3+'Ian Anaya'!E3+'Iñigo Fernandez'!E3+'Xabier Diaz'!E3+'Ekaitz Ureta'!E3</f>
        <v>6.5</v>
      </c>
      <c r="F3" s="28">
        <f>'Iker Diaz'!F3+'Ian Anaya'!F3+'Iñigo Fernandez'!F3+'Xabier Diaz'!F3+'Ekaitz Ureta'!F3</f>
        <v>1</v>
      </c>
      <c r="G3" s="28">
        <f>'Iker Diaz'!G3+'Ian Anaya'!G3+'Iñigo Fernandez'!G3+'Xabier Diaz'!G3+'Ekaitz Ureta'!G3</f>
        <v>0</v>
      </c>
      <c r="H3" s="28">
        <f>'Iker Diaz'!H3+'Ian Anaya'!H3+'Iñigo Fernandez'!H3+'Xabier Diaz'!H3+'Ekaitz Ureta'!H3</f>
        <v>1</v>
      </c>
      <c r="I3" s="28">
        <f>'Iker Diaz'!I3+'Ian Anaya'!I3+'Iñigo Fernandez'!I3+'Xabier Diaz'!I3+'Ekaitz Ureta'!I3</f>
        <v>2</v>
      </c>
      <c r="J3" s="28">
        <f>'Iker Diaz'!J3+'Ian Anaya'!J3+'Iñigo Fernandez'!J3+'Xabier Diaz'!J3+'Ekaitz Ureta'!J3</f>
        <v>0</v>
      </c>
      <c r="K3" s="28">
        <f>'Iker Diaz'!K3+'Ian Anaya'!K3+'Iñigo Fernandez'!K3+'Xabier Diaz'!K3+'Ekaitz Ureta'!K3</f>
        <v>0</v>
      </c>
      <c r="L3" s="28">
        <f>'Iker Diaz'!L3+'Ian Anaya'!L3+'Iñigo Fernandez'!L3+'Xabier Diaz'!L3+'Ekaitz Ureta'!L3</f>
        <v>0</v>
      </c>
      <c r="M3" s="28">
        <f>'Iker Diaz'!M3+'Ian Anaya'!M3+'Iñigo Fernandez'!M3+'Xabier Diaz'!M3+'Ekaitz Ureta'!M3</f>
        <v>0</v>
      </c>
      <c r="N3" s="28">
        <f>'Iker Diaz'!N3+'Ian Anaya'!N3+'Iñigo Fernandez'!N3+'Xabier Diaz'!N3+'Ekaitz Ureta'!N3</f>
        <v>0</v>
      </c>
      <c r="O3" s="28">
        <f>'Iker Diaz'!O3+'Ian Anaya'!O3+'Iñigo Fernandez'!O3+'Xabier Diaz'!O3+'Ekaitz Ureta'!O3</f>
        <v>0</v>
      </c>
      <c r="P3" s="28">
        <f>'Iker Diaz'!P3+'Ian Anaya'!P3+'Iñigo Fernandez'!P3+'Xabier Diaz'!P3+'Ekaitz Ureta'!P3</f>
        <v>0</v>
      </c>
      <c r="Q3" s="28">
        <f>'Iker Diaz'!Q3+'Ian Anaya'!Q3+'Iñigo Fernandez'!Q3+'Xabier Diaz'!Q3+'Ekaitz Ureta'!Q3</f>
        <v>0</v>
      </c>
      <c r="R3" s="28">
        <f>'Iker Diaz'!R3+'Ian Anaya'!R3+'Iñigo Fernandez'!R3+'Xabier Diaz'!R3+'Ekaitz Ureta'!R3</f>
        <v>0</v>
      </c>
      <c r="S3" s="11">
        <f t="shared" si="2"/>
        <v>11</v>
      </c>
    </row>
    <row r="4" ht="15.75" customHeight="1">
      <c r="A4" s="27" t="str">
        <f>Gantt!A5</f>
        <v>T3</v>
      </c>
      <c r="B4" s="28">
        <f>'Iker Diaz'!B4+'Ian Anaya'!B4+'Iñigo Fernandez'!B4+'Xabier Diaz'!B4+'Ekaitz Ureta'!B4</f>
        <v>0</v>
      </c>
      <c r="C4" s="28">
        <f>'Iker Diaz'!C4+'Ian Anaya'!C4+'Iñigo Fernandez'!C4+'Xabier Diaz'!C4+'Ekaitz Ureta'!C4</f>
        <v>0</v>
      </c>
      <c r="D4" s="28">
        <f>'Iker Diaz'!D4+'Ian Anaya'!D4+'Iñigo Fernandez'!D4+'Xabier Diaz'!D4+'Ekaitz Ureta'!D4</f>
        <v>2</v>
      </c>
      <c r="E4" s="28">
        <f>'Iker Diaz'!E4+'Ian Anaya'!E4+'Iñigo Fernandez'!E4+'Xabier Diaz'!E4+'Ekaitz Ureta'!E4</f>
        <v>5.5</v>
      </c>
      <c r="F4" s="28">
        <f>'Iker Diaz'!F4+'Ian Anaya'!F4+'Iñigo Fernandez'!F4+'Xabier Diaz'!F4+'Ekaitz Ureta'!F4</f>
        <v>0.5</v>
      </c>
      <c r="G4" s="28">
        <f>'Iker Diaz'!G4+'Ian Anaya'!G4+'Iñigo Fernandez'!G4+'Xabier Diaz'!G4+'Ekaitz Ureta'!G4</f>
        <v>0</v>
      </c>
      <c r="H4" s="28">
        <f>'Iker Diaz'!H4+'Ian Anaya'!H4+'Iñigo Fernandez'!H4+'Xabier Diaz'!H4+'Ekaitz Ureta'!H4</f>
        <v>3.5</v>
      </c>
      <c r="I4" s="28">
        <f>'Iker Diaz'!I4+'Ian Anaya'!I4+'Iñigo Fernandez'!I4+'Xabier Diaz'!I4+'Ekaitz Ureta'!I4</f>
        <v>5</v>
      </c>
      <c r="J4" s="28">
        <f>'Iker Diaz'!J4+'Ian Anaya'!J4+'Iñigo Fernandez'!J4+'Xabier Diaz'!J4+'Ekaitz Ureta'!J4</f>
        <v>0</v>
      </c>
      <c r="K4" s="28">
        <f>'Iker Diaz'!K4+'Ian Anaya'!K4+'Iñigo Fernandez'!K4+'Xabier Diaz'!K4+'Ekaitz Ureta'!K4</f>
        <v>0</v>
      </c>
      <c r="L4" s="28">
        <f>'Iker Diaz'!L4+'Ian Anaya'!L4+'Iñigo Fernandez'!L4+'Xabier Diaz'!L4+'Ekaitz Ureta'!L4</f>
        <v>0</v>
      </c>
      <c r="M4" s="28">
        <f>'Iker Diaz'!M4+'Ian Anaya'!M4+'Iñigo Fernandez'!M4+'Xabier Diaz'!M4+'Ekaitz Ureta'!M4</f>
        <v>2</v>
      </c>
      <c r="N4" s="28">
        <f>'Iker Diaz'!N4+'Ian Anaya'!N4+'Iñigo Fernandez'!N4+'Xabier Diaz'!N4+'Ekaitz Ureta'!N4</f>
        <v>1</v>
      </c>
      <c r="O4" s="28">
        <f>'Iker Diaz'!O4+'Ian Anaya'!O4+'Iñigo Fernandez'!O4+'Xabier Diaz'!O4+'Ekaitz Ureta'!O4</f>
        <v>0</v>
      </c>
      <c r="P4" s="28">
        <f>'Iker Diaz'!P4+'Ian Anaya'!P4+'Iñigo Fernandez'!P4+'Xabier Diaz'!P4+'Ekaitz Ureta'!P4</f>
        <v>0</v>
      </c>
      <c r="Q4" s="28">
        <f>'Iker Diaz'!Q4+'Ian Anaya'!Q4+'Iñigo Fernandez'!Q4+'Xabier Diaz'!Q4+'Ekaitz Ureta'!Q4</f>
        <v>0</v>
      </c>
      <c r="R4" s="28">
        <f>'Iker Diaz'!R4+'Ian Anaya'!R4+'Iñigo Fernandez'!R4+'Xabier Diaz'!R4+'Ekaitz Ureta'!R4</f>
        <v>0</v>
      </c>
      <c r="S4" s="11">
        <f t="shared" si="2"/>
        <v>19.5</v>
      </c>
    </row>
    <row r="5" ht="15.75" customHeight="1">
      <c r="A5" s="27" t="str">
        <f>Gantt!A6</f>
        <v>T4</v>
      </c>
      <c r="B5" s="28">
        <f>'Iker Diaz'!B5+'Ian Anaya'!B5+'Iñigo Fernandez'!B5+'Xabier Diaz'!B5+'Ekaitz Ureta'!B5</f>
        <v>0</v>
      </c>
      <c r="C5" s="28">
        <f>'Iker Diaz'!C5+'Ian Anaya'!C5+'Iñigo Fernandez'!C5+'Xabier Diaz'!C5+'Ekaitz Ureta'!C5</f>
        <v>0</v>
      </c>
      <c r="D5" s="28">
        <f>'Iker Diaz'!D5+'Ian Anaya'!D5+'Iñigo Fernandez'!D5+'Xabier Diaz'!D5+'Ekaitz Ureta'!D5</f>
        <v>3</v>
      </c>
      <c r="E5" s="28">
        <f>'Iker Diaz'!E5+'Ian Anaya'!E5+'Iñigo Fernandez'!E5+'Xabier Diaz'!E5+'Ekaitz Ureta'!E5</f>
        <v>4</v>
      </c>
      <c r="F5" s="28">
        <f>'Iker Diaz'!F5+'Ian Anaya'!F5+'Iñigo Fernandez'!F5+'Xabier Diaz'!F5+'Ekaitz Ureta'!F5</f>
        <v>0</v>
      </c>
      <c r="G5" s="28">
        <f>'Iker Diaz'!G5+'Ian Anaya'!G5+'Iñigo Fernandez'!G5+'Xabier Diaz'!G5+'Ekaitz Ureta'!G5</f>
        <v>2</v>
      </c>
      <c r="H5" s="28">
        <f>'Iker Diaz'!H5+'Ian Anaya'!H5+'Iñigo Fernandez'!H5+'Xabier Diaz'!H5+'Ekaitz Ureta'!H5</f>
        <v>8</v>
      </c>
      <c r="I5" s="28">
        <f>'Iker Diaz'!I5+'Ian Anaya'!I5+'Iñigo Fernandez'!I5+'Xabier Diaz'!I5+'Ekaitz Ureta'!I5</f>
        <v>7</v>
      </c>
      <c r="J5" s="28">
        <f>'Iker Diaz'!J5+'Ian Anaya'!J5+'Iñigo Fernandez'!J5+'Xabier Diaz'!J5+'Ekaitz Ureta'!J5</f>
        <v>0</v>
      </c>
      <c r="K5" s="28">
        <f>'Iker Diaz'!K5+'Ian Anaya'!K5+'Iñigo Fernandez'!K5+'Xabier Diaz'!K5+'Ekaitz Ureta'!K5</f>
        <v>0</v>
      </c>
      <c r="L5" s="28">
        <f>'Iker Diaz'!L5+'Ian Anaya'!L5+'Iñigo Fernandez'!L5+'Xabier Diaz'!L5+'Ekaitz Ureta'!L5</f>
        <v>0</v>
      </c>
      <c r="M5" s="28">
        <f>'Iker Diaz'!M5+'Ian Anaya'!M5+'Iñigo Fernandez'!M5+'Xabier Diaz'!M5+'Ekaitz Ureta'!M5</f>
        <v>1</v>
      </c>
      <c r="N5" s="28">
        <f>'Iker Diaz'!N5+'Ian Anaya'!N5+'Iñigo Fernandez'!N5+'Xabier Diaz'!N5+'Ekaitz Ureta'!N5</f>
        <v>2</v>
      </c>
      <c r="O5" s="28">
        <f>'Iker Diaz'!O5+'Ian Anaya'!O5+'Iñigo Fernandez'!O5+'Xabier Diaz'!O5+'Ekaitz Ureta'!O5</f>
        <v>1</v>
      </c>
      <c r="P5" s="28">
        <f>'Iker Diaz'!P5+'Ian Anaya'!P5+'Iñigo Fernandez'!P5+'Xabier Diaz'!P5+'Ekaitz Ureta'!P5</f>
        <v>0</v>
      </c>
      <c r="Q5" s="28">
        <f>'Iker Diaz'!Q5+'Ian Anaya'!Q5+'Iñigo Fernandez'!Q5+'Xabier Diaz'!Q5+'Ekaitz Ureta'!Q5</f>
        <v>0</v>
      </c>
      <c r="R5" s="28">
        <f>'Iker Diaz'!R5+'Ian Anaya'!R5+'Iñigo Fernandez'!R5+'Xabier Diaz'!R5+'Ekaitz Ureta'!R5</f>
        <v>0</v>
      </c>
      <c r="S5" s="11">
        <f t="shared" si="2"/>
        <v>28</v>
      </c>
    </row>
    <row r="6" ht="15.75" customHeight="1">
      <c r="A6" s="27" t="str">
        <f>Gantt!A7</f>
        <v>T5</v>
      </c>
      <c r="B6" s="28">
        <f>'Iker Diaz'!B6+'Ian Anaya'!B6+'Iñigo Fernandez'!B6+'Xabier Diaz'!B6+'Ekaitz Ureta'!B6</f>
        <v>0</v>
      </c>
      <c r="C6" s="28">
        <f>'Iker Diaz'!C6+'Ian Anaya'!C6+'Iñigo Fernandez'!C6+'Xabier Diaz'!C6+'Ekaitz Ureta'!C6</f>
        <v>0</v>
      </c>
      <c r="D6" s="28">
        <f>'Iker Diaz'!D6+'Ian Anaya'!D6+'Iñigo Fernandez'!D6+'Xabier Diaz'!D6+'Ekaitz Ureta'!D6</f>
        <v>0</v>
      </c>
      <c r="E6" s="28">
        <f>'Iker Diaz'!E6+'Ian Anaya'!E6+'Iñigo Fernandez'!E6+'Xabier Diaz'!E6+'Ekaitz Ureta'!E6</f>
        <v>1</v>
      </c>
      <c r="F6" s="28">
        <f>'Iker Diaz'!F6+'Ian Anaya'!F6+'Iñigo Fernandez'!F6+'Xabier Diaz'!F6+'Ekaitz Ureta'!F6</f>
        <v>0</v>
      </c>
      <c r="G6" s="28">
        <f>'Iker Diaz'!G6+'Ian Anaya'!G6+'Iñigo Fernandez'!G6+'Xabier Diaz'!G6+'Ekaitz Ureta'!G6</f>
        <v>0</v>
      </c>
      <c r="H6" s="28">
        <f>'Iker Diaz'!H6+'Ian Anaya'!H6+'Iñigo Fernandez'!H6+'Xabier Diaz'!H6+'Ekaitz Ureta'!H6</f>
        <v>9</v>
      </c>
      <c r="I6" s="28">
        <f>'Iker Diaz'!I6+'Ian Anaya'!I6+'Iñigo Fernandez'!I6+'Xabier Diaz'!I6+'Ekaitz Ureta'!I6</f>
        <v>15</v>
      </c>
      <c r="J6" s="28">
        <f>'Iker Diaz'!J6+'Ian Anaya'!J6+'Iñigo Fernandez'!J6+'Xabier Diaz'!J6+'Ekaitz Ureta'!J6</f>
        <v>0</v>
      </c>
      <c r="K6" s="28">
        <f>'Iker Diaz'!K6+'Ian Anaya'!K6+'Iñigo Fernandez'!K6+'Xabier Diaz'!K6+'Ekaitz Ureta'!K6</f>
        <v>0</v>
      </c>
      <c r="L6" s="28">
        <f>'Iker Diaz'!L6+'Ian Anaya'!L6+'Iñigo Fernandez'!L6+'Xabier Diaz'!L6+'Ekaitz Ureta'!L6</f>
        <v>0</v>
      </c>
      <c r="M6" s="28">
        <f>'Iker Diaz'!M6+'Ian Anaya'!M6+'Iñigo Fernandez'!M6+'Xabier Diaz'!M6+'Ekaitz Ureta'!M6</f>
        <v>6</v>
      </c>
      <c r="N6" s="28">
        <f>'Iker Diaz'!N6+'Ian Anaya'!N6+'Iñigo Fernandez'!N6+'Xabier Diaz'!N6+'Ekaitz Ureta'!N6</f>
        <v>5</v>
      </c>
      <c r="O6" s="28">
        <f>'Iker Diaz'!O6+'Ian Anaya'!O6+'Iñigo Fernandez'!O6+'Xabier Diaz'!O6+'Ekaitz Ureta'!O6</f>
        <v>2</v>
      </c>
      <c r="P6" s="28">
        <f>'Iker Diaz'!P6+'Ian Anaya'!P6+'Iñigo Fernandez'!P6+'Xabier Diaz'!P6+'Ekaitz Ureta'!P6</f>
        <v>0</v>
      </c>
      <c r="Q6" s="28">
        <f>'Iker Diaz'!Q6+'Ian Anaya'!Q6+'Iñigo Fernandez'!Q6+'Xabier Diaz'!Q6+'Ekaitz Ureta'!Q6</f>
        <v>0</v>
      </c>
      <c r="R6" s="28">
        <f>'Iker Diaz'!R6+'Ian Anaya'!R6+'Iñigo Fernandez'!R6+'Xabier Diaz'!R6+'Ekaitz Ureta'!R6</f>
        <v>0</v>
      </c>
      <c r="S6" s="11">
        <f t="shared" si="2"/>
        <v>38</v>
      </c>
    </row>
    <row r="7" ht="15.75" customHeight="1">
      <c r="A7" s="27" t="str">
        <f>Gantt!A8</f>
        <v>T6</v>
      </c>
      <c r="B7" s="28">
        <f>'Iker Diaz'!B7+'Ian Anaya'!B7+'Iñigo Fernandez'!B7+'Xabier Diaz'!B7+'Ekaitz Ureta'!B7</f>
        <v>0</v>
      </c>
      <c r="C7" s="28">
        <f>'Iker Diaz'!C7+'Ian Anaya'!C7+'Iñigo Fernandez'!C7+'Xabier Diaz'!C7+'Ekaitz Ureta'!C7</f>
        <v>0</v>
      </c>
      <c r="D7" s="28">
        <f>'Iker Diaz'!D7+'Ian Anaya'!D7+'Iñigo Fernandez'!D7+'Xabier Diaz'!D7+'Ekaitz Ureta'!D7</f>
        <v>0</v>
      </c>
      <c r="E7" s="28">
        <f>'Iker Diaz'!E7+'Ian Anaya'!E7+'Iñigo Fernandez'!E7+'Xabier Diaz'!E7+'Ekaitz Ureta'!E7</f>
        <v>0</v>
      </c>
      <c r="F7" s="28">
        <f>'Iker Diaz'!F7+'Ian Anaya'!F7+'Iñigo Fernandez'!F7+'Xabier Diaz'!F7+'Ekaitz Ureta'!F7</f>
        <v>0</v>
      </c>
      <c r="G7" s="28">
        <f>'Iker Diaz'!G7+'Ian Anaya'!G7+'Iñigo Fernandez'!G7+'Xabier Diaz'!G7+'Ekaitz Ureta'!G7</f>
        <v>0</v>
      </c>
      <c r="H7" s="28">
        <f>'Iker Diaz'!H7+'Ian Anaya'!H7+'Iñigo Fernandez'!H7+'Xabier Diaz'!H7+'Ekaitz Ureta'!H7</f>
        <v>4</v>
      </c>
      <c r="I7" s="28">
        <f>'Iker Diaz'!I7+'Ian Anaya'!I7+'Iñigo Fernandez'!I7+'Xabier Diaz'!I7+'Ekaitz Ureta'!I7</f>
        <v>3</v>
      </c>
      <c r="J7" s="28">
        <f>'Iker Diaz'!J7+'Ian Anaya'!J7+'Iñigo Fernandez'!J7+'Xabier Diaz'!J7+'Ekaitz Ureta'!J7</f>
        <v>6</v>
      </c>
      <c r="K7" s="28">
        <f>'Iker Diaz'!K7+'Ian Anaya'!K7+'Iñigo Fernandez'!K7+'Xabier Diaz'!K7+'Ekaitz Ureta'!K7</f>
        <v>0</v>
      </c>
      <c r="L7" s="28">
        <f>'Iker Diaz'!L7+'Ian Anaya'!L7+'Iñigo Fernandez'!L7+'Xabier Diaz'!L7+'Ekaitz Ureta'!L7</f>
        <v>3</v>
      </c>
      <c r="M7" s="28">
        <f>'Iker Diaz'!M7+'Ian Anaya'!M7+'Iñigo Fernandez'!M7+'Xabier Diaz'!M7+'Ekaitz Ureta'!M7</f>
        <v>1</v>
      </c>
      <c r="N7" s="28">
        <f>'Iker Diaz'!N7+'Ian Anaya'!N7+'Iñigo Fernandez'!N7+'Xabier Diaz'!N7+'Ekaitz Ureta'!N7</f>
        <v>5</v>
      </c>
      <c r="O7" s="28">
        <f>'Iker Diaz'!O7+'Ian Anaya'!O7+'Iñigo Fernandez'!O7+'Xabier Diaz'!O7+'Ekaitz Ureta'!O7</f>
        <v>1</v>
      </c>
      <c r="P7" s="28">
        <f>'Iker Diaz'!P7+'Ian Anaya'!P7+'Iñigo Fernandez'!P7+'Xabier Diaz'!P7+'Ekaitz Ureta'!P7</f>
        <v>0</v>
      </c>
      <c r="Q7" s="28">
        <f>'Iker Diaz'!Q7+'Ian Anaya'!Q7+'Iñigo Fernandez'!Q7+'Xabier Diaz'!Q7+'Ekaitz Ureta'!Q7</f>
        <v>0</v>
      </c>
      <c r="R7" s="28">
        <f>'Iker Diaz'!R7+'Ian Anaya'!R7+'Iñigo Fernandez'!R7+'Xabier Diaz'!R7+'Ekaitz Ureta'!R7</f>
        <v>0</v>
      </c>
      <c r="S7" s="11">
        <f t="shared" si="2"/>
        <v>23</v>
      </c>
    </row>
    <row r="8" ht="15.75" customHeight="1">
      <c r="A8" s="27" t="str">
        <f>Gantt!A9</f>
        <v>T7</v>
      </c>
      <c r="B8" s="28">
        <f>'Iker Diaz'!B8+'Ian Anaya'!B8+'Iñigo Fernandez'!B8+'Xabier Diaz'!B8+'Ekaitz Ureta'!B8</f>
        <v>0</v>
      </c>
      <c r="C8" s="28">
        <f>'Iker Diaz'!C8+'Ian Anaya'!C8+'Iñigo Fernandez'!C8+'Xabier Diaz'!C8+'Ekaitz Ureta'!C8</f>
        <v>0</v>
      </c>
      <c r="D8" s="28">
        <f>'Iker Diaz'!D8+'Ian Anaya'!D8+'Iñigo Fernandez'!D8+'Xabier Diaz'!D8+'Ekaitz Ureta'!D8</f>
        <v>0</v>
      </c>
      <c r="E8" s="28">
        <f>'Iker Diaz'!E8+'Ian Anaya'!E8+'Iñigo Fernandez'!E8+'Xabier Diaz'!E8+'Ekaitz Ureta'!E8</f>
        <v>0</v>
      </c>
      <c r="F8" s="28">
        <f>'Iker Diaz'!F8+'Ian Anaya'!F8+'Iñigo Fernandez'!F8+'Xabier Diaz'!F8+'Ekaitz Ureta'!F8</f>
        <v>0</v>
      </c>
      <c r="G8" s="28">
        <f>'Iker Diaz'!G8+'Ian Anaya'!G8+'Iñigo Fernandez'!G8+'Xabier Diaz'!G8+'Ekaitz Ureta'!G8</f>
        <v>2</v>
      </c>
      <c r="H8" s="28">
        <f>'Iker Diaz'!H8+'Ian Anaya'!H8+'Iñigo Fernandez'!H8+'Xabier Diaz'!H8+'Ekaitz Ureta'!H8</f>
        <v>2</v>
      </c>
      <c r="I8" s="28">
        <f>'Iker Diaz'!I8+'Ian Anaya'!I8+'Iñigo Fernandez'!I8+'Xabier Diaz'!I8+'Ekaitz Ureta'!I8</f>
        <v>1</v>
      </c>
      <c r="J8" s="28">
        <f>'Iker Diaz'!J8+'Ian Anaya'!J8+'Iñigo Fernandez'!J8+'Xabier Diaz'!J8+'Ekaitz Ureta'!J8</f>
        <v>1</v>
      </c>
      <c r="K8" s="28">
        <f>'Iker Diaz'!K8+'Ian Anaya'!K8+'Iñigo Fernandez'!K8+'Xabier Diaz'!K8+'Ekaitz Ureta'!K8</f>
        <v>3</v>
      </c>
      <c r="L8" s="28">
        <f>'Iker Diaz'!L8+'Ian Anaya'!L8+'Iñigo Fernandez'!L8+'Xabier Diaz'!L8+'Ekaitz Ureta'!L8</f>
        <v>3</v>
      </c>
      <c r="M8" s="28">
        <f>'Iker Diaz'!M8+'Ian Anaya'!M8+'Iñigo Fernandez'!M8+'Xabier Diaz'!M8+'Ekaitz Ureta'!M8</f>
        <v>2</v>
      </c>
      <c r="N8" s="28">
        <f>'Iker Diaz'!N8+'Ian Anaya'!N8+'Iñigo Fernandez'!N8+'Xabier Diaz'!N8+'Ekaitz Ureta'!N8</f>
        <v>1</v>
      </c>
      <c r="O8" s="28">
        <f>'Iker Diaz'!O8+'Ian Anaya'!O8+'Iñigo Fernandez'!O8+'Xabier Diaz'!O8+'Ekaitz Ureta'!O8</f>
        <v>2</v>
      </c>
      <c r="P8" s="28">
        <f>'Iker Diaz'!P8+'Ian Anaya'!P8+'Iñigo Fernandez'!P8+'Xabier Diaz'!P8+'Ekaitz Ureta'!P8</f>
        <v>0</v>
      </c>
      <c r="Q8" s="28">
        <f>'Iker Diaz'!Q8+'Ian Anaya'!Q8+'Iñigo Fernandez'!Q8+'Xabier Diaz'!Q8+'Ekaitz Ureta'!Q8</f>
        <v>0</v>
      </c>
      <c r="R8" s="28">
        <f>'Iker Diaz'!R8+'Ian Anaya'!R8+'Iñigo Fernandez'!R8+'Xabier Diaz'!R8+'Ekaitz Ureta'!R8</f>
        <v>0</v>
      </c>
      <c r="S8" s="11">
        <f t="shared" si="2"/>
        <v>17</v>
      </c>
    </row>
    <row r="9" ht="15.75" customHeight="1">
      <c r="A9" s="27" t="str">
        <f>Gantt!A10</f>
        <v>T8</v>
      </c>
      <c r="B9" s="28">
        <f>'Iker Diaz'!B9+'Ian Anaya'!B9+'Iñigo Fernandez'!B9+'Xabier Diaz'!B9+'Ekaitz Ureta'!B9</f>
        <v>0</v>
      </c>
      <c r="C9" s="28">
        <f>'Iker Diaz'!C9+'Ian Anaya'!C9+'Iñigo Fernandez'!C9+'Xabier Diaz'!C9+'Ekaitz Ureta'!C9</f>
        <v>0</v>
      </c>
      <c r="D9" s="28">
        <f>'Iker Diaz'!D9+'Ian Anaya'!D9+'Iñigo Fernandez'!D9+'Xabier Diaz'!D9+'Ekaitz Ureta'!D9</f>
        <v>0</v>
      </c>
      <c r="E9" s="28">
        <f>'Iker Diaz'!E9+'Ian Anaya'!E9+'Iñigo Fernandez'!E9+'Xabier Diaz'!E9+'Ekaitz Ureta'!E9</f>
        <v>0</v>
      </c>
      <c r="F9" s="28">
        <f>'Iker Diaz'!F9+'Ian Anaya'!F9+'Iñigo Fernandez'!F9+'Xabier Diaz'!F9+'Ekaitz Ureta'!F9</f>
        <v>0</v>
      </c>
      <c r="G9" s="28">
        <f>'Iker Diaz'!G9+'Ian Anaya'!G9+'Iñigo Fernandez'!G9+'Xabier Diaz'!G9+'Ekaitz Ureta'!G9</f>
        <v>1</v>
      </c>
      <c r="H9" s="28">
        <f>'Iker Diaz'!H9+'Ian Anaya'!H9+'Iñigo Fernandez'!H9+'Xabier Diaz'!H9+'Ekaitz Ureta'!H9</f>
        <v>2</v>
      </c>
      <c r="I9" s="28">
        <f>'Iker Diaz'!I9+'Ian Anaya'!I9+'Iñigo Fernandez'!I9+'Xabier Diaz'!I9+'Ekaitz Ureta'!I9</f>
        <v>6</v>
      </c>
      <c r="J9" s="28">
        <f>'Iker Diaz'!J9+'Ian Anaya'!J9+'Iñigo Fernandez'!J9+'Xabier Diaz'!J9+'Ekaitz Ureta'!J9</f>
        <v>4</v>
      </c>
      <c r="K9" s="28">
        <f>'Iker Diaz'!K9+'Ian Anaya'!K9+'Iñigo Fernandez'!K9+'Xabier Diaz'!K9+'Ekaitz Ureta'!K9</f>
        <v>2</v>
      </c>
      <c r="L9" s="28">
        <f>'Iker Diaz'!L9+'Ian Anaya'!L9+'Iñigo Fernandez'!L9+'Xabier Diaz'!L9+'Ekaitz Ureta'!L9</f>
        <v>3</v>
      </c>
      <c r="M9" s="28">
        <f>'Iker Diaz'!M9+'Ian Anaya'!M9+'Iñigo Fernandez'!M9+'Xabier Diaz'!M9+'Ekaitz Ureta'!M9</f>
        <v>3</v>
      </c>
      <c r="N9" s="28">
        <f>'Iker Diaz'!N9+'Ian Anaya'!N9+'Iñigo Fernandez'!N9+'Xabier Diaz'!N9+'Ekaitz Ureta'!N9</f>
        <v>4</v>
      </c>
      <c r="O9" s="28">
        <f>'Iker Diaz'!O9+'Ian Anaya'!O9+'Iñigo Fernandez'!O9+'Xabier Diaz'!O9+'Ekaitz Ureta'!O9</f>
        <v>3</v>
      </c>
      <c r="P9" s="28">
        <f>'Iker Diaz'!P9+'Ian Anaya'!P9+'Iñigo Fernandez'!P9+'Xabier Diaz'!P9+'Ekaitz Ureta'!P9</f>
        <v>0</v>
      </c>
      <c r="Q9" s="28">
        <f>'Iker Diaz'!Q9+'Ian Anaya'!Q9+'Iñigo Fernandez'!Q9+'Xabier Diaz'!Q9+'Ekaitz Ureta'!Q9</f>
        <v>0</v>
      </c>
      <c r="R9" s="28">
        <f>'Iker Diaz'!R9+'Ian Anaya'!R9+'Iñigo Fernandez'!R9+'Xabier Diaz'!R9+'Ekaitz Ureta'!R9</f>
        <v>0</v>
      </c>
      <c r="S9" s="11">
        <f t="shared" si="2"/>
        <v>28</v>
      </c>
    </row>
    <row r="10" ht="15.75" customHeight="1">
      <c r="A10" s="27" t="str">
        <f>Gantt!A11</f>
        <v>T9</v>
      </c>
      <c r="B10" s="28">
        <f>'Iker Diaz'!B10+'Ian Anaya'!B10+'Iñigo Fernandez'!B10+'Xabier Diaz'!B10+'Ekaitz Ureta'!B10</f>
        <v>0</v>
      </c>
      <c r="C10" s="28">
        <f>'Iker Diaz'!C10+'Ian Anaya'!C10+'Iñigo Fernandez'!C10+'Xabier Diaz'!C10+'Ekaitz Ureta'!C10</f>
        <v>0</v>
      </c>
      <c r="D10" s="28">
        <f>'Iker Diaz'!D10+'Ian Anaya'!D10+'Iñigo Fernandez'!D10+'Xabier Diaz'!D10+'Ekaitz Ureta'!D10</f>
        <v>0</v>
      </c>
      <c r="E10" s="28">
        <f>'Iker Diaz'!E10+'Ian Anaya'!E10+'Iñigo Fernandez'!E10+'Xabier Diaz'!E10+'Ekaitz Ureta'!E10</f>
        <v>0</v>
      </c>
      <c r="F10" s="28">
        <f>'Iker Diaz'!F10+'Ian Anaya'!F10+'Iñigo Fernandez'!F10+'Xabier Diaz'!F10+'Ekaitz Ureta'!F10</f>
        <v>0</v>
      </c>
      <c r="G10" s="28">
        <f>'Iker Diaz'!G10+'Ian Anaya'!G10+'Iñigo Fernandez'!G10+'Xabier Diaz'!G10+'Ekaitz Ureta'!G10</f>
        <v>1</v>
      </c>
      <c r="H10" s="28">
        <f>'Iker Diaz'!H10+'Ian Anaya'!H10+'Iñigo Fernandez'!H10+'Xabier Diaz'!H10+'Ekaitz Ureta'!H10</f>
        <v>2</v>
      </c>
      <c r="I10" s="28">
        <f>'Iker Diaz'!I10+'Ian Anaya'!I10+'Iñigo Fernandez'!I10+'Xabier Diaz'!I10+'Ekaitz Ureta'!I10</f>
        <v>6</v>
      </c>
      <c r="J10" s="28">
        <f>'Iker Diaz'!J10+'Ian Anaya'!J10+'Iñigo Fernandez'!J10+'Xabier Diaz'!J10+'Ekaitz Ureta'!J10</f>
        <v>1</v>
      </c>
      <c r="K10" s="28">
        <f>'Iker Diaz'!K10+'Ian Anaya'!K10+'Iñigo Fernandez'!K10+'Xabier Diaz'!K10+'Ekaitz Ureta'!K10</f>
        <v>5</v>
      </c>
      <c r="L10" s="28">
        <f>'Iker Diaz'!L10+'Ian Anaya'!L10+'Iñigo Fernandez'!L10+'Xabier Diaz'!L10+'Ekaitz Ureta'!L10</f>
        <v>4</v>
      </c>
      <c r="M10" s="28">
        <f>'Iker Diaz'!M10+'Ian Anaya'!M10+'Iñigo Fernandez'!M10+'Xabier Diaz'!M10+'Ekaitz Ureta'!M10</f>
        <v>3</v>
      </c>
      <c r="N10" s="28">
        <f>'Iker Diaz'!N10+'Ian Anaya'!N10+'Iñigo Fernandez'!N10+'Xabier Diaz'!N10+'Ekaitz Ureta'!N10</f>
        <v>1</v>
      </c>
      <c r="O10" s="28">
        <f>'Iker Diaz'!O10+'Ian Anaya'!O10+'Iñigo Fernandez'!O10+'Xabier Diaz'!O10+'Ekaitz Ureta'!O10</f>
        <v>3</v>
      </c>
      <c r="P10" s="28">
        <f>'Iker Diaz'!P10+'Ian Anaya'!P10+'Iñigo Fernandez'!P10+'Xabier Diaz'!P10+'Ekaitz Ureta'!P10</f>
        <v>0</v>
      </c>
      <c r="Q10" s="28">
        <f>'Iker Diaz'!Q10+'Ian Anaya'!Q10+'Iñigo Fernandez'!Q10+'Xabier Diaz'!Q10+'Ekaitz Ureta'!Q10</f>
        <v>0</v>
      </c>
      <c r="R10" s="28">
        <f>'Iker Diaz'!R10+'Ian Anaya'!R10+'Iñigo Fernandez'!R10+'Xabier Diaz'!R10+'Ekaitz Ureta'!R10</f>
        <v>0</v>
      </c>
      <c r="S10" s="11">
        <f t="shared" si="2"/>
        <v>26</v>
      </c>
    </row>
    <row r="11" ht="15.75" customHeight="1">
      <c r="A11" s="27" t="str">
        <f>Gantt!A12</f>
        <v>T10</v>
      </c>
      <c r="B11" s="28">
        <f>'Iker Diaz'!B11+'Ian Anaya'!B11+'Iñigo Fernandez'!B11+'Xabier Diaz'!B11+'Ekaitz Ureta'!B11</f>
        <v>0</v>
      </c>
      <c r="C11" s="28">
        <f>'Iker Diaz'!C11+'Ian Anaya'!C11+'Iñigo Fernandez'!C11+'Xabier Diaz'!C11+'Ekaitz Ureta'!C11</f>
        <v>0</v>
      </c>
      <c r="D11" s="28">
        <f>'Iker Diaz'!D11+'Ian Anaya'!D11+'Iñigo Fernandez'!D11+'Xabier Diaz'!D11+'Ekaitz Ureta'!D11</f>
        <v>0</v>
      </c>
      <c r="E11" s="28">
        <f>'Iker Diaz'!E11+'Ian Anaya'!E11+'Iñigo Fernandez'!E11+'Xabier Diaz'!E11+'Ekaitz Ureta'!E11</f>
        <v>0</v>
      </c>
      <c r="F11" s="28">
        <f>'Iker Diaz'!F11+'Ian Anaya'!F11+'Iñigo Fernandez'!F11+'Xabier Diaz'!F11+'Ekaitz Ureta'!F11</f>
        <v>0</v>
      </c>
      <c r="G11" s="28">
        <f>'Iker Diaz'!G11+'Ian Anaya'!G11+'Iñigo Fernandez'!G11+'Xabier Diaz'!G11+'Ekaitz Ureta'!G11</f>
        <v>0</v>
      </c>
      <c r="H11" s="28">
        <f>'Iker Diaz'!H11+'Ian Anaya'!H11+'Iñigo Fernandez'!H11+'Xabier Diaz'!H11+'Ekaitz Ureta'!H11</f>
        <v>0</v>
      </c>
      <c r="I11" s="28">
        <f>'Iker Diaz'!I11+'Ian Anaya'!I11+'Iñigo Fernandez'!I11+'Xabier Diaz'!I11+'Ekaitz Ureta'!I11</f>
        <v>5</v>
      </c>
      <c r="J11" s="28">
        <f>'Iker Diaz'!J11+'Ian Anaya'!J11+'Iñigo Fernandez'!J11+'Xabier Diaz'!J11+'Ekaitz Ureta'!J11</f>
        <v>2</v>
      </c>
      <c r="K11" s="28">
        <f>'Iker Diaz'!K11+'Ian Anaya'!K11+'Iñigo Fernandez'!K11+'Xabier Diaz'!K11+'Ekaitz Ureta'!K11</f>
        <v>2</v>
      </c>
      <c r="L11" s="28">
        <f>'Iker Diaz'!L11+'Ian Anaya'!L11+'Iñigo Fernandez'!L11+'Xabier Diaz'!L11+'Ekaitz Ureta'!L11</f>
        <v>2</v>
      </c>
      <c r="M11" s="28">
        <f>'Iker Diaz'!M11+'Ian Anaya'!M11+'Iñigo Fernandez'!M11+'Xabier Diaz'!M11+'Ekaitz Ureta'!M11</f>
        <v>2</v>
      </c>
      <c r="N11" s="28">
        <f>'Iker Diaz'!N11+'Ian Anaya'!N11+'Iñigo Fernandez'!N11+'Xabier Diaz'!N11+'Ekaitz Ureta'!N11</f>
        <v>0</v>
      </c>
      <c r="O11" s="28">
        <f>'Iker Diaz'!O11+'Ian Anaya'!O11+'Iñigo Fernandez'!O11+'Xabier Diaz'!O11+'Ekaitz Ureta'!O11</f>
        <v>0</v>
      </c>
      <c r="P11" s="28">
        <f>'Iker Diaz'!P11+'Ian Anaya'!P11+'Iñigo Fernandez'!P11+'Xabier Diaz'!P11+'Ekaitz Ureta'!P11</f>
        <v>0</v>
      </c>
      <c r="Q11" s="28">
        <f>'Iker Diaz'!Q11+'Ian Anaya'!Q11+'Iñigo Fernandez'!Q11+'Xabier Diaz'!Q11+'Ekaitz Ureta'!Q11</f>
        <v>0</v>
      </c>
      <c r="R11" s="28">
        <f>'Iker Diaz'!R11+'Ian Anaya'!R11+'Iñigo Fernandez'!R11+'Xabier Diaz'!R11+'Ekaitz Ureta'!R11</f>
        <v>0</v>
      </c>
      <c r="S11" s="11">
        <f t="shared" si="2"/>
        <v>13</v>
      </c>
    </row>
    <row r="12" ht="15.75" customHeight="1">
      <c r="A12" s="29" t="s">
        <v>26</v>
      </c>
      <c r="B12" s="11">
        <f t="shared" ref="B12:S12" si="3">SUM(B2:B11)</f>
        <v>2</v>
      </c>
      <c r="C12" s="11">
        <f t="shared" si="3"/>
        <v>3</v>
      </c>
      <c r="D12" s="11">
        <f t="shared" si="3"/>
        <v>5.5</v>
      </c>
      <c r="E12" s="11">
        <f t="shared" si="3"/>
        <v>18</v>
      </c>
      <c r="F12" s="11">
        <f t="shared" si="3"/>
        <v>1.5</v>
      </c>
      <c r="G12" s="11">
        <f t="shared" si="3"/>
        <v>6</v>
      </c>
      <c r="H12" s="11">
        <f t="shared" si="3"/>
        <v>31.5</v>
      </c>
      <c r="I12" s="11">
        <f t="shared" si="3"/>
        <v>50</v>
      </c>
      <c r="J12" s="11">
        <f t="shared" si="3"/>
        <v>14</v>
      </c>
      <c r="K12" s="11">
        <f t="shared" si="3"/>
        <v>12</v>
      </c>
      <c r="L12" s="11">
        <f t="shared" si="3"/>
        <v>15</v>
      </c>
      <c r="M12" s="11">
        <f t="shared" si="3"/>
        <v>20</v>
      </c>
      <c r="N12" s="11">
        <f t="shared" si="3"/>
        <v>19</v>
      </c>
      <c r="O12" s="11">
        <f t="shared" si="3"/>
        <v>12</v>
      </c>
      <c r="P12" s="11">
        <f t="shared" si="3"/>
        <v>0</v>
      </c>
      <c r="Q12" s="11">
        <f t="shared" si="3"/>
        <v>0</v>
      </c>
      <c r="R12" s="11">
        <f t="shared" si="3"/>
        <v>0</v>
      </c>
      <c r="S12" s="11">
        <f t="shared" si="3"/>
        <v>209.5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9" width="8.75"/>
  </cols>
  <sheetData>
    <row r="1" ht="15.75" customHeight="1">
      <c r="A1" s="30" t="s">
        <v>2</v>
      </c>
      <c r="B1" s="25">
        <f>Gantt!C2</f>
        <v>45936</v>
      </c>
      <c r="C1" s="25">
        <f t="shared" ref="C1:R1" si="1">B1+7</f>
        <v>45943</v>
      </c>
      <c r="D1" s="25">
        <f t="shared" si="1"/>
        <v>45950</v>
      </c>
      <c r="E1" s="25">
        <f t="shared" si="1"/>
        <v>45957</v>
      </c>
      <c r="F1" s="25">
        <f t="shared" si="1"/>
        <v>45964</v>
      </c>
      <c r="G1" s="25">
        <f t="shared" si="1"/>
        <v>45971</v>
      </c>
      <c r="H1" s="25">
        <f t="shared" si="1"/>
        <v>45978</v>
      </c>
      <c r="I1" s="25">
        <f t="shared" si="1"/>
        <v>45985</v>
      </c>
      <c r="J1" s="25">
        <f t="shared" si="1"/>
        <v>45992</v>
      </c>
      <c r="K1" s="25">
        <f t="shared" si="1"/>
        <v>45999</v>
      </c>
      <c r="L1" s="25">
        <f t="shared" si="1"/>
        <v>46006</v>
      </c>
      <c r="M1" s="25">
        <f t="shared" si="1"/>
        <v>46013</v>
      </c>
      <c r="N1" s="25">
        <f t="shared" si="1"/>
        <v>46020</v>
      </c>
      <c r="O1" s="25">
        <f t="shared" si="1"/>
        <v>46027</v>
      </c>
      <c r="P1" s="25">
        <f t="shared" si="1"/>
        <v>46034</v>
      </c>
      <c r="Q1" s="25">
        <f t="shared" si="1"/>
        <v>46041</v>
      </c>
      <c r="R1" s="25">
        <f t="shared" si="1"/>
        <v>46048</v>
      </c>
      <c r="S1" s="26" t="s">
        <v>27</v>
      </c>
    </row>
    <row r="2" ht="15.75" customHeight="1">
      <c r="A2" s="31" t="str">
        <f>Gantt!A3</f>
        <v>T1</v>
      </c>
      <c r="B2" s="13"/>
      <c r="C2" s="16"/>
      <c r="D2" s="17"/>
      <c r="E2" s="16">
        <v>1.0</v>
      </c>
      <c r="F2" s="17"/>
      <c r="G2" s="17"/>
      <c r="H2" s="17"/>
      <c r="I2" s="16"/>
      <c r="J2" s="17"/>
      <c r="K2" s="17"/>
      <c r="L2" s="17"/>
      <c r="M2" s="17"/>
      <c r="N2" s="17"/>
      <c r="O2" s="17"/>
      <c r="P2" s="17"/>
      <c r="Q2" s="17"/>
      <c r="R2" s="17"/>
      <c r="S2" s="11">
        <f t="shared" ref="S2:S11" si="2">SUM(B2:R2)</f>
        <v>1</v>
      </c>
    </row>
    <row r="3" ht="15.75" customHeight="1">
      <c r="A3" s="31" t="str">
        <f>Gantt!A4</f>
        <v>T2</v>
      </c>
      <c r="B3" s="13"/>
      <c r="C3" s="16"/>
      <c r="D3" s="17"/>
      <c r="E3" s="16">
        <v>2.0</v>
      </c>
      <c r="F3" s="17"/>
      <c r="G3" s="17"/>
      <c r="H3" s="17"/>
      <c r="I3" s="16"/>
      <c r="J3" s="17"/>
      <c r="K3" s="17"/>
      <c r="L3" s="17"/>
      <c r="M3" s="17"/>
      <c r="N3" s="17"/>
      <c r="O3" s="17"/>
      <c r="P3" s="17"/>
      <c r="Q3" s="17"/>
      <c r="R3" s="17"/>
      <c r="S3" s="11">
        <f t="shared" si="2"/>
        <v>2</v>
      </c>
    </row>
    <row r="4" ht="15.75" customHeight="1">
      <c r="A4" s="31" t="str">
        <f>Gantt!A5</f>
        <v>T3</v>
      </c>
      <c r="B4" s="17"/>
      <c r="C4" s="17"/>
      <c r="D4" s="16"/>
      <c r="E4" s="17"/>
      <c r="F4" s="17"/>
      <c r="G4" s="17"/>
      <c r="H4" s="16">
        <v>1.5</v>
      </c>
      <c r="I4" s="16">
        <v>2.0</v>
      </c>
      <c r="J4" s="17"/>
      <c r="K4" s="17"/>
      <c r="L4" s="17"/>
      <c r="M4" s="17"/>
      <c r="N4" s="16">
        <v>1.0</v>
      </c>
      <c r="O4" s="17"/>
      <c r="P4" s="17"/>
      <c r="Q4" s="16"/>
      <c r="R4" s="17"/>
      <c r="S4" s="11">
        <f t="shared" si="2"/>
        <v>4.5</v>
      </c>
    </row>
    <row r="5" ht="15.75" customHeight="1">
      <c r="A5" s="31" t="str">
        <f>Gantt!A6</f>
        <v>T4</v>
      </c>
      <c r="B5" s="16"/>
      <c r="C5" s="17"/>
      <c r="D5" s="16"/>
      <c r="E5" s="16">
        <v>1.0</v>
      </c>
      <c r="F5" s="17"/>
      <c r="G5" s="17"/>
      <c r="H5" s="16">
        <v>7.0</v>
      </c>
      <c r="I5" s="16">
        <v>3.0</v>
      </c>
      <c r="J5" s="17"/>
      <c r="K5" s="17"/>
      <c r="L5" s="17"/>
      <c r="M5" s="17"/>
      <c r="N5" s="17"/>
      <c r="O5" s="16">
        <v>1.0</v>
      </c>
      <c r="P5" s="17"/>
      <c r="Q5" s="17"/>
      <c r="R5" s="17"/>
      <c r="S5" s="11">
        <f t="shared" si="2"/>
        <v>12</v>
      </c>
    </row>
    <row r="6" ht="15.75" customHeight="1">
      <c r="A6" s="31" t="str">
        <f>Gantt!A7</f>
        <v>T5</v>
      </c>
      <c r="B6" s="17"/>
      <c r="C6" s="17"/>
      <c r="D6" s="17"/>
      <c r="E6" s="16">
        <v>1.0</v>
      </c>
      <c r="F6" s="16"/>
      <c r="G6" s="17"/>
      <c r="H6" s="16">
        <v>1.5</v>
      </c>
      <c r="I6" s="16">
        <v>2.0</v>
      </c>
      <c r="J6" s="17"/>
      <c r="K6" s="17"/>
      <c r="L6" s="17"/>
      <c r="M6" s="17"/>
      <c r="N6" s="16">
        <v>1.0</v>
      </c>
      <c r="O6" s="16">
        <v>1.0</v>
      </c>
      <c r="P6" s="17"/>
      <c r="Q6" s="17"/>
      <c r="R6" s="17"/>
      <c r="S6" s="11">
        <f t="shared" si="2"/>
        <v>6.5</v>
      </c>
    </row>
    <row r="7" ht="15.75" customHeight="1">
      <c r="A7" s="31" t="str">
        <f>Gantt!A8</f>
        <v>T6</v>
      </c>
      <c r="B7" s="17"/>
      <c r="C7" s="17"/>
      <c r="D7" s="17"/>
      <c r="E7" s="17"/>
      <c r="F7" s="17"/>
      <c r="G7" s="17"/>
      <c r="H7" s="16"/>
      <c r="I7" s="17"/>
      <c r="J7" s="16">
        <v>1.0</v>
      </c>
      <c r="K7" s="17"/>
      <c r="L7" s="16">
        <v>1.0</v>
      </c>
      <c r="M7" s="16">
        <v>1.0</v>
      </c>
      <c r="N7" s="17"/>
      <c r="O7" s="16">
        <v>1.0</v>
      </c>
      <c r="P7" s="17"/>
      <c r="Q7" s="17"/>
      <c r="R7" s="17"/>
      <c r="S7" s="11">
        <f t="shared" si="2"/>
        <v>4</v>
      </c>
    </row>
    <row r="8" ht="15.75" customHeight="1">
      <c r="A8" s="31" t="str">
        <f>Gantt!A9</f>
        <v>T7</v>
      </c>
      <c r="B8" s="16"/>
      <c r="C8" s="17"/>
      <c r="D8" s="17"/>
      <c r="E8" s="17"/>
      <c r="F8" s="17"/>
      <c r="G8" s="17"/>
      <c r="H8" s="17"/>
      <c r="I8" s="16"/>
      <c r="J8" s="16">
        <v>1.0</v>
      </c>
      <c r="K8" s="17"/>
      <c r="L8" s="16">
        <v>1.0</v>
      </c>
      <c r="M8" s="17"/>
      <c r="N8" s="16">
        <v>1.0</v>
      </c>
      <c r="O8" s="17"/>
      <c r="P8" s="17"/>
      <c r="Q8" s="16"/>
      <c r="R8" s="17"/>
      <c r="S8" s="11">
        <f t="shared" si="2"/>
        <v>3</v>
      </c>
    </row>
    <row r="9" ht="15.75" customHeight="1">
      <c r="A9" s="31" t="str">
        <f>Gantt!A10</f>
        <v>T8</v>
      </c>
      <c r="B9" s="17"/>
      <c r="C9" s="17"/>
      <c r="D9" s="17"/>
      <c r="E9" s="17"/>
      <c r="F9" s="17"/>
      <c r="G9" s="17"/>
      <c r="H9" s="16"/>
      <c r="I9" s="17"/>
      <c r="J9" s="17"/>
      <c r="K9" s="17"/>
      <c r="L9" s="17"/>
      <c r="M9" s="16">
        <v>2.0</v>
      </c>
      <c r="N9" s="17"/>
      <c r="O9" s="16">
        <v>1.0</v>
      </c>
      <c r="P9" s="17"/>
      <c r="Q9" s="17"/>
      <c r="R9" s="17"/>
      <c r="S9" s="11">
        <f t="shared" si="2"/>
        <v>3</v>
      </c>
    </row>
    <row r="10" ht="15.75" customHeight="1">
      <c r="A10" s="31" t="str">
        <f>Gantt!A11</f>
        <v>T9</v>
      </c>
      <c r="B10" s="17"/>
      <c r="C10" s="17"/>
      <c r="D10" s="17"/>
      <c r="E10" s="17"/>
      <c r="F10" s="17"/>
      <c r="G10" s="17"/>
      <c r="H10" s="17"/>
      <c r="I10" s="17"/>
      <c r="J10" s="17"/>
      <c r="K10" s="16">
        <v>2.0</v>
      </c>
      <c r="L10" s="16">
        <v>1.0</v>
      </c>
      <c r="M10" s="17"/>
      <c r="N10" s="17"/>
      <c r="O10" s="17"/>
      <c r="P10" s="16"/>
      <c r="Q10" s="16"/>
      <c r="R10" s="17"/>
      <c r="S10" s="11">
        <f t="shared" si="2"/>
        <v>3</v>
      </c>
    </row>
    <row r="11" ht="15.75" customHeight="1">
      <c r="A11" s="31" t="str">
        <f>Gantt!A12</f>
        <v>T10</v>
      </c>
      <c r="B11" s="17"/>
      <c r="C11" s="17"/>
      <c r="D11" s="17"/>
      <c r="E11" s="17"/>
      <c r="F11" s="17"/>
      <c r="G11" s="17"/>
      <c r="H11" s="17"/>
      <c r="I11" s="16">
        <v>2.0</v>
      </c>
      <c r="J11" s="17"/>
      <c r="K11" s="17"/>
      <c r="L11" s="17"/>
      <c r="M11" s="17"/>
      <c r="N11" s="17"/>
      <c r="O11" s="17"/>
      <c r="P11" s="16"/>
      <c r="Q11" s="17"/>
      <c r="R11" s="17"/>
      <c r="S11" s="11">
        <f t="shared" si="2"/>
        <v>2</v>
      </c>
    </row>
    <row r="12" ht="15.75" customHeight="1">
      <c r="A12" s="32" t="s">
        <v>27</v>
      </c>
      <c r="B12" s="11">
        <f t="shared" ref="B12:S12" si="3">SUM(B2:B11)</f>
        <v>0</v>
      </c>
      <c r="C12" s="11">
        <f t="shared" si="3"/>
        <v>0</v>
      </c>
      <c r="D12" s="11">
        <f t="shared" si="3"/>
        <v>0</v>
      </c>
      <c r="E12" s="11">
        <f t="shared" si="3"/>
        <v>5</v>
      </c>
      <c r="F12" s="11">
        <f t="shared" si="3"/>
        <v>0</v>
      </c>
      <c r="G12" s="11">
        <f t="shared" si="3"/>
        <v>0</v>
      </c>
      <c r="H12" s="11">
        <f t="shared" si="3"/>
        <v>10</v>
      </c>
      <c r="I12" s="11">
        <f t="shared" si="3"/>
        <v>9</v>
      </c>
      <c r="J12" s="11">
        <f t="shared" si="3"/>
        <v>2</v>
      </c>
      <c r="K12" s="11">
        <f t="shared" si="3"/>
        <v>2</v>
      </c>
      <c r="L12" s="11">
        <f t="shared" si="3"/>
        <v>3</v>
      </c>
      <c r="M12" s="11">
        <f t="shared" si="3"/>
        <v>3</v>
      </c>
      <c r="N12" s="11">
        <f t="shared" si="3"/>
        <v>3</v>
      </c>
      <c r="O12" s="11">
        <f t="shared" si="3"/>
        <v>4</v>
      </c>
      <c r="P12" s="11">
        <f t="shared" si="3"/>
        <v>0</v>
      </c>
      <c r="Q12" s="11">
        <f t="shared" si="3"/>
        <v>0</v>
      </c>
      <c r="R12" s="11">
        <f t="shared" si="3"/>
        <v>0</v>
      </c>
      <c r="S12" s="11">
        <f t="shared" si="3"/>
        <v>41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9" width="8.75"/>
  </cols>
  <sheetData>
    <row r="1" ht="15.75" customHeight="1">
      <c r="A1" s="30" t="s">
        <v>2</v>
      </c>
      <c r="B1" s="25">
        <f>Gantt!C2</f>
        <v>45936</v>
      </c>
      <c r="C1" s="25">
        <f t="shared" ref="C1:R1" si="1">B1+7</f>
        <v>45943</v>
      </c>
      <c r="D1" s="25">
        <f t="shared" si="1"/>
        <v>45950</v>
      </c>
      <c r="E1" s="25">
        <f t="shared" si="1"/>
        <v>45957</v>
      </c>
      <c r="F1" s="25">
        <f t="shared" si="1"/>
        <v>45964</v>
      </c>
      <c r="G1" s="25">
        <f t="shared" si="1"/>
        <v>45971</v>
      </c>
      <c r="H1" s="25">
        <f t="shared" si="1"/>
        <v>45978</v>
      </c>
      <c r="I1" s="25">
        <f t="shared" si="1"/>
        <v>45985</v>
      </c>
      <c r="J1" s="25">
        <f t="shared" si="1"/>
        <v>45992</v>
      </c>
      <c r="K1" s="25">
        <f t="shared" si="1"/>
        <v>45999</v>
      </c>
      <c r="L1" s="25">
        <f t="shared" si="1"/>
        <v>46006</v>
      </c>
      <c r="M1" s="25">
        <f t="shared" si="1"/>
        <v>46013</v>
      </c>
      <c r="N1" s="25">
        <f t="shared" si="1"/>
        <v>46020</v>
      </c>
      <c r="O1" s="25">
        <f t="shared" si="1"/>
        <v>46027</v>
      </c>
      <c r="P1" s="25">
        <f t="shared" si="1"/>
        <v>46034</v>
      </c>
      <c r="Q1" s="25">
        <f t="shared" si="1"/>
        <v>46041</v>
      </c>
      <c r="R1" s="25">
        <f t="shared" si="1"/>
        <v>46048</v>
      </c>
      <c r="S1" s="26" t="s">
        <v>27</v>
      </c>
    </row>
    <row r="2" ht="15.75" customHeight="1">
      <c r="A2" s="31" t="str">
        <f>Gantt!A3</f>
        <v>T1</v>
      </c>
      <c r="B2" s="13"/>
      <c r="C2" s="16">
        <v>1.0</v>
      </c>
      <c r="D2" s="17"/>
      <c r="E2" s="16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1">
        <f t="shared" ref="S2:S11" si="2">SUM(B2:R2)</f>
        <v>1</v>
      </c>
    </row>
    <row r="3" ht="15.75" customHeight="1">
      <c r="A3" s="31" t="str">
        <f>Gantt!A4</f>
        <v>T2</v>
      </c>
      <c r="B3" s="33"/>
      <c r="C3" s="17"/>
      <c r="D3" s="17"/>
      <c r="E3" s="16">
        <v>3.0</v>
      </c>
      <c r="F3" s="17"/>
      <c r="G3" s="17"/>
      <c r="H3" s="16">
        <v>1.0</v>
      </c>
      <c r="I3" s="16">
        <v>2.0</v>
      </c>
      <c r="J3" s="17"/>
      <c r="K3" s="17"/>
      <c r="L3" s="17"/>
      <c r="M3" s="17"/>
      <c r="N3" s="17"/>
      <c r="O3" s="17"/>
      <c r="P3" s="17"/>
      <c r="Q3" s="17"/>
      <c r="R3" s="17"/>
      <c r="S3" s="11">
        <f t="shared" si="2"/>
        <v>6</v>
      </c>
    </row>
    <row r="4" ht="15.75" customHeight="1">
      <c r="A4" s="31" t="str">
        <f>Gantt!A5</f>
        <v>T3</v>
      </c>
      <c r="B4" s="17"/>
      <c r="C4" s="17"/>
      <c r="D4" s="17"/>
      <c r="E4" s="16">
        <v>1.0</v>
      </c>
      <c r="F4" s="17"/>
      <c r="G4" s="17"/>
      <c r="H4" s="16">
        <v>2.0</v>
      </c>
      <c r="I4" s="16">
        <v>2.0</v>
      </c>
      <c r="J4" s="17"/>
      <c r="K4" s="17"/>
      <c r="L4" s="17"/>
      <c r="M4" s="17"/>
      <c r="N4" s="17"/>
      <c r="O4" s="17"/>
      <c r="P4" s="17"/>
      <c r="Q4" s="17"/>
      <c r="R4" s="17"/>
      <c r="S4" s="11">
        <f t="shared" si="2"/>
        <v>5</v>
      </c>
    </row>
    <row r="5" ht="15.75" customHeight="1">
      <c r="A5" s="31" t="str">
        <f>Gantt!A6</f>
        <v>T4</v>
      </c>
      <c r="B5" s="17"/>
      <c r="C5" s="17"/>
      <c r="D5" s="17"/>
      <c r="E5" s="17"/>
      <c r="F5" s="17"/>
      <c r="G5" s="17"/>
      <c r="H5" s="16">
        <v>1.0</v>
      </c>
      <c r="I5" s="16">
        <v>4.0</v>
      </c>
      <c r="J5" s="17"/>
      <c r="K5" s="17"/>
      <c r="L5" s="17"/>
      <c r="M5" s="17"/>
      <c r="N5" s="17"/>
      <c r="O5" s="17"/>
      <c r="P5" s="17"/>
      <c r="Q5" s="17"/>
      <c r="R5" s="17"/>
      <c r="S5" s="11">
        <f t="shared" si="2"/>
        <v>5</v>
      </c>
    </row>
    <row r="6" ht="15.75" customHeight="1">
      <c r="A6" s="31" t="str">
        <f>Gantt!A7</f>
        <v>T5</v>
      </c>
      <c r="B6" s="17"/>
      <c r="C6" s="17"/>
      <c r="D6" s="17"/>
      <c r="E6" s="17"/>
      <c r="F6" s="17"/>
      <c r="G6" s="17"/>
      <c r="H6" s="16">
        <v>1.5</v>
      </c>
      <c r="I6" s="16">
        <v>4.0</v>
      </c>
      <c r="J6" s="17"/>
      <c r="K6" s="17"/>
      <c r="L6" s="17"/>
      <c r="M6" s="16">
        <v>2.0</v>
      </c>
      <c r="N6" s="17"/>
      <c r="O6" s="16">
        <v>1.0</v>
      </c>
      <c r="P6" s="17"/>
      <c r="Q6" s="17"/>
      <c r="R6" s="17"/>
      <c r="S6" s="11">
        <f t="shared" si="2"/>
        <v>8.5</v>
      </c>
    </row>
    <row r="7" ht="15.75" customHeight="1">
      <c r="A7" s="31" t="str">
        <f>Gantt!A8</f>
        <v>T6</v>
      </c>
      <c r="B7" s="17"/>
      <c r="C7" s="17"/>
      <c r="D7" s="17"/>
      <c r="E7" s="17"/>
      <c r="F7" s="17"/>
      <c r="G7" s="17"/>
      <c r="H7" s="17"/>
      <c r="I7" s="17"/>
      <c r="J7" s="16">
        <v>1.0</v>
      </c>
      <c r="K7" s="17"/>
      <c r="L7" s="16">
        <v>2.0</v>
      </c>
      <c r="M7" s="17"/>
      <c r="N7" s="17"/>
      <c r="O7" s="17"/>
      <c r="P7" s="17"/>
      <c r="Q7" s="17"/>
      <c r="R7" s="17"/>
      <c r="S7" s="11">
        <f t="shared" si="2"/>
        <v>3</v>
      </c>
    </row>
    <row r="8" ht="15.75" customHeight="1">
      <c r="A8" s="31" t="str">
        <f>Gantt!A9</f>
        <v>T7</v>
      </c>
      <c r="B8" s="17"/>
      <c r="C8" s="17"/>
      <c r="D8" s="17"/>
      <c r="E8" s="17"/>
      <c r="F8" s="17"/>
      <c r="G8" s="17"/>
      <c r="H8" s="17"/>
      <c r="I8" s="17"/>
      <c r="J8" s="17"/>
      <c r="K8" s="16">
        <v>1.0</v>
      </c>
      <c r="L8" s="17"/>
      <c r="M8" s="16">
        <v>2.0</v>
      </c>
      <c r="N8" s="17"/>
      <c r="O8" s="16">
        <v>1.0</v>
      </c>
      <c r="P8" s="17"/>
      <c r="Q8" s="17"/>
      <c r="R8" s="17"/>
      <c r="S8" s="11">
        <f t="shared" si="2"/>
        <v>4</v>
      </c>
    </row>
    <row r="9" ht="15.75" customHeight="1">
      <c r="A9" s="31" t="str">
        <f>Gantt!A10</f>
        <v>T8</v>
      </c>
      <c r="B9" s="17"/>
      <c r="C9" s="17"/>
      <c r="D9" s="17"/>
      <c r="E9" s="17"/>
      <c r="F9" s="17"/>
      <c r="G9" s="17"/>
      <c r="H9" s="17"/>
      <c r="I9" s="16"/>
      <c r="J9" s="16">
        <v>1.0</v>
      </c>
      <c r="K9" s="16">
        <v>1.0</v>
      </c>
      <c r="L9" s="16">
        <v>1.0</v>
      </c>
      <c r="M9" s="16">
        <v>1.0</v>
      </c>
      <c r="N9" s="16">
        <v>3.0</v>
      </c>
      <c r="O9" s="17"/>
      <c r="P9" s="17"/>
      <c r="Q9" s="17"/>
      <c r="R9" s="17"/>
      <c r="S9" s="11">
        <f t="shared" si="2"/>
        <v>7</v>
      </c>
    </row>
    <row r="10" ht="15.75" customHeight="1">
      <c r="A10" s="31" t="str">
        <f>Gantt!A11</f>
        <v>T9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6">
        <v>1.0</v>
      </c>
      <c r="M10" s="17"/>
      <c r="N10" s="17"/>
      <c r="O10" s="17"/>
      <c r="P10" s="17"/>
      <c r="Q10" s="17"/>
      <c r="R10" s="17"/>
      <c r="S10" s="11">
        <f t="shared" si="2"/>
        <v>1</v>
      </c>
    </row>
    <row r="11" ht="15.75" customHeight="1">
      <c r="A11" s="31" t="str">
        <f>Gantt!A12</f>
        <v>T10</v>
      </c>
      <c r="B11" s="17"/>
      <c r="C11" s="17"/>
      <c r="D11" s="17"/>
      <c r="E11" s="17"/>
      <c r="F11" s="17"/>
      <c r="G11" s="17"/>
      <c r="H11" s="17"/>
      <c r="I11" s="16">
        <v>1.0</v>
      </c>
      <c r="J11" s="17"/>
      <c r="K11" s="17"/>
      <c r="L11" s="17"/>
      <c r="M11" s="17"/>
      <c r="N11" s="17"/>
      <c r="O11" s="17"/>
      <c r="P11" s="17"/>
      <c r="Q11" s="17"/>
      <c r="R11" s="17"/>
      <c r="S11" s="11">
        <f t="shared" si="2"/>
        <v>1</v>
      </c>
    </row>
    <row r="12" ht="15.75" customHeight="1">
      <c r="A12" s="32" t="s">
        <v>27</v>
      </c>
      <c r="B12" s="11">
        <f t="shared" ref="B12:S12" si="3">SUM(B2:B11)</f>
        <v>0</v>
      </c>
      <c r="C12" s="11">
        <f t="shared" si="3"/>
        <v>1</v>
      </c>
      <c r="D12" s="11">
        <f t="shared" si="3"/>
        <v>0</v>
      </c>
      <c r="E12" s="11">
        <f t="shared" si="3"/>
        <v>4</v>
      </c>
      <c r="F12" s="11">
        <f t="shared" si="3"/>
        <v>0</v>
      </c>
      <c r="G12" s="11">
        <f t="shared" si="3"/>
        <v>0</v>
      </c>
      <c r="H12" s="11">
        <f t="shared" si="3"/>
        <v>5.5</v>
      </c>
      <c r="I12" s="11">
        <f t="shared" si="3"/>
        <v>13</v>
      </c>
      <c r="J12" s="11">
        <f t="shared" si="3"/>
        <v>2</v>
      </c>
      <c r="K12" s="11">
        <f t="shared" si="3"/>
        <v>2</v>
      </c>
      <c r="L12" s="11">
        <f t="shared" si="3"/>
        <v>4</v>
      </c>
      <c r="M12" s="11">
        <f t="shared" si="3"/>
        <v>5</v>
      </c>
      <c r="N12" s="11">
        <f t="shared" si="3"/>
        <v>3</v>
      </c>
      <c r="O12" s="11">
        <f t="shared" si="3"/>
        <v>2</v>
      </c>
      <c r="P12" s="11">
        <f t="shared" si="3"/>
        <v>0</v>
      </c>
      <c r="Q12" s="11">
        <f t="shared" si="3"/>
        <v>0</v>
      </c>
      <c r="R12" s="11">
        <f t="shared" si="3"/>
        <v>0</v>
      </c>
      <c r="S12" s="11">
        <f t="shared" si="3"/>
        <v>41.5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9" width="8.75"/>
  </cols>
  <sheetData>
    <row r="1" ht="15.75" customHeight="1">
      <c r="A1" s="30" t="s">
        <v>2</v>
      </c>
      <c r="B1" s="25">
        <f>Gantt!C2</f>
        <v>45936</v>
      </c>
      <c r="C1" s="25">
        <f t="shared" ref="C1:R1" si="1">B1+7</f>
        <v>45943</v>
      </c>
      <c r="D1" s="25">
        <f t="shared" si="1"/>
        <v>45950</v>
      </c>
      <c r="E1" s="25">
        <f t="shared" si="1"/>
        <v>45957</v>
      </c>
      <c r="F1" s="25">
        <f t="shared" si="1"/>
        <v>45964</v>
      </c>
      <c r="G1" s="25">
        <f t="shared" si="1"/>
        <v>45971</v>
      </c>
      <c r="H1" s="25">
        <f t="shared" si="1"/>
        <v>45978</v>
      </c>
      <c r="I1" s="25">
        <f t="shared" si="1"/>
        <v>45985</v>
      </c>
      <c r="J1" s="25">
        <f t="shared" si="1"/>
        <v>45992</v>
      </c>
      <c r="K1" s="25">
        <f t="shared" si="1"/>
        <v>45999</v>
      </c>
      <c r="L1" s="25">
        <f t="shared" si="1"/>
        <v>46006</v>
      </c>
      <c r="M1" s="25">
        <f t="shared" si="1"/>
        <v>46013</v>
      </c>
      <c r="N1" s="25">
        <f t="shared" si="1"/>
        <v>46020</v>
      </c>
      <c r="O1" s="25">
        <f t="shared" si="1"/>
        <v>46027</v>
      </c>
      <c r="P1" s="25">
        <f t="shared" si="1"/>
        <v>46034</v>
      </c>
      <c r="Q1" s="25">
        <f t="shared" si="1"/>
        <v>46041</v>
      </c>
      <c r="R1" s="25">
        <f t="shared" si="1"/>
        <v>46048</v>
      </c>
      <c r="S1" s="26" t="s">
        <v>27</v>
      </c>
    </row>
    <row r="2" ht="15.75" customHeight="1">
      <c r="A2" s="31" t="str">
        <f>Gantt!A3</f>
        <v>T1</v>
      </c>
      <c r="B2" s="13">
        <v>1.0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1">
        <f t="shared" ref="S2:S11" si="2">SUM(B2:R2)</f>
        <v>1</v>
      </c>
    </row>
    <row r="3" ht="15.75" customHeight="1">
      <c r="A3" s="31" t="str">
        <f>Gantt!A4</f>
        <v>T2</v>
      </c>
      <c r="B3" s="33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1">
        <f t="shared" si="2"/>
        <v>0</v>
      </c>
    </row>
    <row r="4" ht="15.75" customHeight="1">
      <c r="A4" s="31" t="str">
        <f>Gantt!A5</f>
        <v>T3</v>
      </c>
      <c r="B4" s="17"/>
      <c r="C4" s="17"/>
      <c r="D4" s="16">
        <v>2.0</v>
      </c>
      <c r="E4" s="16">
        <v>2.0</v>
      </c>
      <c r="F4" s="16">
        <v>0.5</v>
      </c>
      <c r="G4" s="16"/>
      <c r="H4" s="17"/>
      <c r="I4" s="17"/>
      <c r="J4" s="17"/>
      <c r="K4" s="17"/>
      <c r="L4" s="17"/>
      <c r="M4" s="16">
        <v>1.0</v>
      </c>
      <c r="N4" s="17"/>
      <c r="O4" s="17"/>
      <c r="P4" s="17"/>
      <c r="Q4" s="17"/>
      <c r="R4" s="17"/>
      <c r="S4" s="11">
        <f t="shared" si="2"/>
        <v>5.5</v>
      </c>
    </row>
    <row r="5" ht="15.75" customHeight="1">
      <c r="A5" s="31" t="str">
        <f>Gantt!A6</f>
        <v>T4</v>
      </c>
      <c r="B5" s="17"/>
      <c r="C5" s="17"/>
      <c r="D5" s="16">
        <v>3.0</v>
      </c>
      <c r="E5" s="16">
        <v>3.0</v>
      </c>
      <c r="F5" s="17"/>
      <c r="G5" s="16">
        <v>2.0</v>
      </c>
      <c r="H5" s="17"/>
      <c r="I5" s="17"/>
      <c r="J5" s="17"/>
      <c r="K5" s="17"/>
      <c r="L5" s="17"/>
      <c r="M5" s="16">
        <v>1.0</v>
      </c>
      <c r="N5" s="16">
        <v>1.0</v>
      </c>
      <c r="O5" s="17"/>
      <c r="P5" s="17"/>
      <c r="Q5" s="17"/>
      <c r="R5" s="17"/>
      <c r="S5" s="11">
        <f t="shared" si="2"/>
        <v>10</v>
      </c>
    </row>
    <row r="6" ht="15.75" customHeight="1">
      <c r="A6" s="31" t="str">
        <f>Gantt!A7</f>
        <v>T5</v>
      </c>
      <c r="B6" s="17"/>
      <c r="C6" s="17"/>
      <c r="D6" s="17"/>
      <c r="E6" s="16"/>
      <c r="F6" s="16"/>
      <c r="G6" s="16"/>
      <c r="H6" s="16">
        <v>4.0</v>
      </c>
      <c r="I6" s="16">
        <v>5.0</v>
      </c>
      <c r="J6" s="17"/>
      <c r="K6" s="17"/>
      <c r="L6" s="17"/>
      <c r="M6" s="17"/>
      <c r="N6" s="16">
        <v>1.0</v>
      </c>
      <c r="O6" s="17"/>
      <c r="P6" s="17"/>
      <c r="Q6" s="17"/>
      <c r="R6" s="17"/>
      <c r="S6" s="11">
        <f t="shared" si="2"/>
        <v>10</v>
      </c>
    </row>
    <row r="7" ht="15.75" customHeight="1">
      <c r="A7" s="31" t="str">
        <f>Gantt!A8</f>
        <v>T6</v>
      </c>
      <c r="B7" s="17"/>
      <c r="C7" s="17"/>
      <c r="D7" s="17"/>
      <c r="E7" s="17"/>
      <c r="F7" s="17"/>
      <c r="G7" s="17"/>
      <c r="H7" s="17"/>
      <c r="I7" s="17"/>
      <c r="J7" s="16">
        <v>3.0</v>
      </c>
      <c r="K7" s="17"/>
      <c r="L7" s="17"/>
      <c r="M7" s="17"/>
      <c r="N7" s="16">
        <v>1.0</v>
      </c>
      <c r="O7" s="17"/>
      <c r="P7" s="17"/>
      <c r="Q7" s="17"/>
      <c r="R7" s="17"/>
      <c r="S7" s="11">
        <f t="shared" si="2"/>
        <v>4</v>
      </c>
    </row>
    <row r="8" ht="15.75" customHeight="1">
      <c r="A8" s="31" t="str">
        <f>Gantt!A9</f>
        <v>T7</v>
      </c>
      <c r="B8" s="17"/>
      <c r="C8" s="17"/>
      <c r="D8" s="17"/>
      <c r="E8" s="17"/>
      <c r="F8" s="17"/>
      <c r="G8" s="17"/>
      <c r="H8" s="17"/>
      <c r="I8" s="17"/>
      <c r="J8" s="17"/>
      <c r="K8" s="16">
        <v>2.0</v>
      </c>
      <c r="L8" s="17"/>
      <c r="M8" s="17"/>
      <c r="N8" s="17"/>
      <c r="O8" s="17"/>
      <c r="P8" s="17"/>
      <c r="Q8" s="17"/>
      <c r="R8" s="17"/>
      <c r="S8" s="11">
        <f t="shared" si="2"/>
        <v>2</v>
      </c>
    </row>
    <row r="9" ht="15.75" customHeight="1">
      <c r="A9" s="31" t="str">
        <f>Gantt!A10</f>
        <v>T8</v>
      </c>
      <c r="B9" s="17"/>
      <c r="C9" s="17"/>
      <c r="D9" s="17"/>
      <c r="E9" s="17"/>
      <c r="F9" s="17"/>
      <c r="G9" s="17"/>
      <c r="H9" s="17"/>
      <c r="I9" s="16"/>
      <c r="J9" s="17"/>
      <c r="K9" s="17"/>
      <c r="L9" s="16">
        <v>2.0</v>
      </c>
      <c r="M9" s="17"/>
      <c r="N9" s="16">
        <v>1.0</v>
      </c>
      <c r="O9" s="16">
        <v>1.0</v>
      </c>
      <c r="P9" s="17"/>
      <c r="Q9" s="17"/>
      <c r="R9" s="17"/>
      <c r="S9" s="11">
        <f t="shared" si="2"/>
        <v>4</v>
      </c>
    </row>
    <row r="10" ht="15.75" customHeight="1">
      <c r="A10" s="31" t="str">
        <f>Gantt!A11</f>
        <v>T9</v>
      </c>
      <c r="B10" s="17"/>
      <c r="C10" s="17"/>
      <c r="D10" s="17"/>
      <c r="E10" s="17"/>
      <c r="F10" s="17"/>
      <c r="G10" s="17"/>
      <c r="H10" s="17"/>
      <c r="I10" s="17"/>
      <c r="J10" s="17"/>
      <c r="K10" s="16">
        <v>1.0</v>
      </c>
      <c r="L10" s="17"/>
      <c r="M10" s="16">
        <v>2.0</v>
      </c>
      <c r="N10" s="17"/>
      <c r="O10" s="17"/>
      <c r="P10" s="17"/>
      <c r="Q10" s="17"/>
      <c r="R10" s="17"/>
      <c r="S10" s="11">
        <f t="shared" si="2"/>
        <v>3</v>
      </c>
    </row>
    <row r="11" ht="15.75" customHeight="1">
      <c r="A11" s="31" t="str">
        <f>Gantt!A12</f>
        <v>T10</v>
      </c>
      <c r="B11" s="17"/>
      <c r="C11" s="17"/>
      <c r="D11" s="17"/>
      <c r="E11" s="17"/>
      <c r="F11" s="17"/>
      <c r="G11" s="16"/>
      <c r="H11" s="16"/>
      <c r="I11" s="16">
        <v>2.0</v>
      </c>
      <c r="J11" s="17"/>
      <c r="K11" s="17"/>
      <c r="L11" s="17"/>
      <c r="M11" s="16">
        <v>2.0</v>
      </c>
      <c r="N11" s="16"/>
      <c r="O11" s="17"/>
      <c r="P11" s="17"/>
      <c r="Q11" s="17"/>
      <c r="R11" s="17"/>
      <c r="S11" s="11">
        <f t="shared" si="2"/>
        <v>4</v>
      </c>
    </row>
    <row r="12" ht="15.75" customHeight="1">
      <c r="A12" s="32" t="s">
        <v>27</v>
      </c>
      <c r="B12" s="11">
        <f t="shared" ref="B12:S12" si="3">SUM(B2:B11)</f>
        <v>1</v>
      </c>
      <c r="C12" s="11">
        <f t="shared" si="3"/>
        <v>0</v>
      </c>
      <c r="D12" s="11">
        <f t="shared" si="3"/>
        <v>5</v>
      </c>
      <c r="E12" s="11">
        <f t="shared" si="3"/>
        <v>5</v>
      </c>
      <c r="F12" s="11">
        <f t="shared" si="3"/>
        <v>0.5</v>
      </c>
      <c r="G12" s="11">
        <f t="shared" si="3"/>
        <v>2</v>
      </c>
      <c r="H12" s="11">
        <f t="shared" si="3"/>
        <v>4</v>
      </c>
      <c r="I12" s="11">
        <f t="shared" si="3"/>
        <v>7</v>
      </c>
      <c r="J12" s="11">
        <f t="shared" si="3"/>
        <v>3</v>
      </c>
      <c r="K12" s="11">
        <f t="shared" si="3"/>
        <v>3</v>
      </c>
      <c r="L12" s="11">
        <f t="shared" si="3"/>
        <v>2</v>
      </c>
      <c r="M12" s="11">
        <f t="shared" si="3"/>
        <v>6</v>
      </c>
      <c r="N12" s="11">
        <f t="shared" si="3"/>
        <v>4</v>
      </c>
      <c r="O12" s="11">
        <f t="shared" si="3"/>
        <v>1</v>
      </c>
      <c r="P12" s="11">
        <f t="shared" si="3"/>
        <v>0</v>
      </c>
      <c r="Q12" s="11">
        <f t="shared" si="3"/>
        <v>0</v>
      </c>
      <c r="R12" s="11">
        <f t="shared" si="3"/>
        <v>0</v>
      </c>
      <c r="S12" s="11">
        <f t="shared" si="3"/>
        <v>43.5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9" width="8.75"/>
  </cols>
  <sheetData>
    <row r="1" ht="15.75" customHeight="1">
      <c r="A1" s="30" t="s">
        <v>2</v>
      </c>
      <c r="B1" s="25">
        <f>Gantt!C2</f>
        <v>45936</v>
      </c>
      <c r="C1" s="25">
        <f t="shared" ref="C1:R1" si="1">B1+7</f>
        <v>45943</v>
      </c>
      <c r="D1" s="25">
        <f t="shared" si="1"/>
        <v>45950</v>
      </c>
      <c r="E1" s="25">
        <f t="shared" si="1"/>
        <v>45957</v>
      </c>
      <c r="F1" s="25">
        <f t="shared" si="1"/>
        <v>45964</v>
      </c>
      <c r="G1" s="25">
        <f t="shared" si="1"/>
        <v>45971</v>
      </c>
      <c r="H1" s="25">
        <f t="shared" si="1"/>
        <v>45978</v>
      </c>
      <c r="I1" s="25">
        <f t="shared" si="1"/>
        <v>45985</v>
      </c>
      <c r="J1" s="25">
        <f t="shared" si="1"/>
        <v>45992</v>
      </c>
      <c r="K1" s="25">
        <f t="shared" si="1"/>
        <v>45999</v>
      </c>
      <c r="L1" s="25">
        <f t="shared" si="1"/>
        <v>46006</v>
      </c>
      <c r="M1" s="25">
        <f t="shared" si="1"/>
        <v>46013</v>
      </c>
      <c r="N1" s="25">
        <f t="shared" si="1"/>
        <v>46020</v>
      </c>
      <c r="O1" s="25">
        <f t="shared" si="1"/>
        <v>46027</v>
      </c>
      <c r="P1" s="25">
        <f t="shared" si="1"/>
        <v>46034</v>
      </c>
      <c r="Q1" s="25">
        <f t="shared" si="1"/>
        <v>46041</v>
      </c>
      <c r="R1" s="25">
        <f t="shared" si="1"/>
        <v>46048</v>
      </c>
      <c r="S1" s="26" t="s">
        <v>27</v>
      </c>
    </row>
    <row r="2" ht="15.75" customHeight="1">
      <c r="A2" s="31" t="str">
        <f>Gantt!A3</f>
        <v>T1</v>
      </c>
      <c r="B2" s="13">
        <v>1.0</v>
      </c>
      <c r="C2" s="16">
        <v>1.0</v>
      </c>
      <c r="D2" s="16"/>
      <c r="E2" s="16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1">
        <f t="shared" ref="S2:S11" si="2">SUM(B2:R2)</f>
        <v>2</v>
      </c>
    </row>
    <row r="3" ht="15.75" customHeight="1">
      <c r="A3" s="31" t="str">
        <f>Gantt!A4</f>
        <v>T2</v>
      </c>
      <c r="B3" s="13"/>
      <c r="C3" s="16"/>
      <c r="D3" s="16">
        <v>0.5</v>
      </c>
      <c r="E3" s="16">
        <v>1.0</v>
      </c>
      <c r="F3" s="16">
        <v>1.0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1">
        <f t="shared" si="2"/>
        <v>2.5</v>
      </c>
    </row>
    <row r="4" ht="15.75" customHeight="1">
      <c r="A4" s="31" t="str">
        <f>Gantt!A5</f>
        <v>T3</v>
      </c>
      <c r="B4" s="17"/>
      <c r="C4" s="16"/>
      <c r="D4" s="16"/>
      <c r="E4" s="16"/>
      <c r="F4" s="16"/>
      <c r="G4" s="17"/>
      <c r="H4" s="17"/>
      <c r="I4" s="16">
        <v>1.0</v>
      </c>
      <c r="J4" s="17"/>
      <c r="K4" s="17"/>
      <c r="L4" s="17"/>
      <c r="M4" s="17"/>
      <c r="N4" s="17"/>
      <c r="O4" s="17"/>
      <c r="P4" s="17"/>
      <c r="Q4" s="17"/>
      <c r="R4" s="17"/>
      <c r="S4" s="11">
        <f t="shared" si="2"/>
        <v>1</v>
      </c>
    </row>
    <row r="5" ht="15.75" customHeight="1">
      <c r="A5" s="31" t="str">
        <f>Gantt!A6</f>
        <v>T4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1">
        <f t="shared" si="2"/>
        <v>0</v>
      </c>
    </row>
    <row r="6" ht="15.75" customHeight="1">
      <c r="A6" s="31" t="str">
        <f>Gantt!A7</f>
        <v>T5</v>
      </c>
      <c r="B6" s="17"/>
      <c r="C6" s="17"/>
      <c r="D6" s="17"/>
      <c r="E6" s="17"/>
      <c r="F6" s="17"/>
      <c r="G6" s="17"/>
      <c r="H6" s="16"/>
      <c r="I6" s="16">
        <v>2.0</v>
      </c>
      <c r="J6" s="16"/>
      <c r="K6" s="17"/>
      <c r="L6" s="17"/>
      <c r="M6" s="16">
        <v>3.0</v>
      </c>
      <c r="N6" s="16">
        <v>2.0</v>
      </c>
      <c r="O6" s="17"/>
      <c r="P6" s="17"/>
      <c r="Q6" s="17"/>
      <c r="R6" s="17"/>
      <c r="S6" s="11">
        <f t="shared" si="2"/>
        <v>7</v>
      </c>
    </row>
    <row r="7" ht="15.75" customHeight="1">
      <c r="A7" s="31" t="str">
        <f>Gantt!A8</f>
        <v>T6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1">
        <f t="shared" si="2"/>
        <v>0</v>
      </c>
    </row>
    <row r="8" ht="15.75" customHeight="1">
      <c r="A8" s="31" t="str">
        <f>Gantt!A9</f>
        <v>T7</v>
      </c>
      <c r="B8" s="17"/>
      <c r="C8" s="17"/>
      <c r="D8" s="17"/>
      <c r="E8" s="17"/>
      <c r="F8" s="17"/>
      <c r="G8" s="16">
        <v>2.0</v>
      </c>
      <c r="H8" s="16">
        <v>2.0</v>
      </c>
      <c r="I8" s="16">
        <v>1.0</v>
      </c>
      <c r="J8" s="17"/>
      <c r="K8" s="17"/>
      <c r="L8" s="16">
        <v>2.0</v>
      </c>
      <c r="M8" s="17"/>
      <c r="N8" s="17"/>
      <c r="O8" s="16">
        <v>1.0</v>
      </c>
      <c r="P8" s="17"/>
      <c r="Q8" s="17"/>
      <c r="R8" s="17"/>
      <c r="S8" s="11">
        <f t="shared" si="2"/>
        <v>8</v>
      </c>
    </row>
    <row r="9" ht="15.75" customHeight="1">
      <c r="A9" s="31" t="str">
        <f>Gantt!A10</f>
        <v>T8</v>
      </c>
      <c r="B9" s="17"/>
      <c r="C9" s="17"/>
      <c r="D9" s="17"/>
      <c r="E9" s="17"/>
      <c r="F9" s="17"/>
      <c r="G9" s="16">
        <v>1.0</v>
      </c>
      <c r="H9" s="16">
        <v>2.0</v>
      </c>
      <c r="I9" s="16">
        <v>4.0</v>
      </c>
      <c r="J9" s="16">
        <v>2.0</v>
      </c>
      <c r="K9" s="16"/>
      <c r="L9" s="17"/>
      <c r="M9" s="16"/>
      <c r="N9" s="16"/>
      <c r="O9" s="17"/>
      <c r="P9" s="17"/>
      <c r="Q9" s="17"/>
      <c r="R9" s="17"/>
      <c r="S9" s="11">
        <f t="shared" si="2"/>
        <v>9</v>
      </c>
    </row>
    <row r="10" ht="15.75" customHeight="1">
      <c r="A10" s="31" t="str">
        <f>Gantt!A11</f>
        <v>T9</v>
      </c>
      <c r="B10" s="17"/>
      <c r="C10" s="17"/>
      <c r="D10" s="17"/>
      <c r="E10" s="17"/>
      <c r="F10" s="17"/>
      <c r="G10" s="16">
        <v>1.0</v>
      </c>
      <c r="H10" s="16">
        <v>2.0</v>
      </c>
      <c r="I10" s="16">
        <v>2.0</v>
      </c>
      <c r="J10" s="16"/>
      <c r="K10" s="16">
        <v>2.0</v>
      </c>
      <c r="L10" s="17"/>
      <c r="M10" s="16">
        <v>1.0</v>
      </c>
      <c r="N10" s="16"/>
      <c r="O10" s="16">
        <v>1.0</v>
      </c>
      <c r="P10" s="17"/>
      <c r="Q10" s="17"/>
      <c r="R10" s="17"/>
      <c r="S10" s="11">
        <f t="shared" si="2"/>
        <v>9</v>
      </c>
    </row>
    <row r="11" ht="15.75" customHeight="1">
      <c r="A11" s="31" t="str">
        <f>Gantt!A12</f>
        <v>T10</v>
      </c>
      <c r="B11" s="17"/>
      <c r="C11" s="17"/>
      <c r="D11" s="17"/>
      <c r="E11" s="17"/>
      <c r="F11" s="17"/>
      <c r="G11" s="17"/>
      <c r="H11" s="17"/>
      <c r="I11" s="17"/>
      <c r="J11" s="16">
        <v>2.0</v>
      </c>
      <c r="K11" s="16"/>
      <c r="L11" s="16">
        <v>2.0</v>
      </c>
      <c r="M11" s="16"/>
      <c r="N11" s="16"/>
      <c r="O11" s="17"/>
      <c r="P11" s="17"/>
      <c r="Q11" s="17"/>
      <c r="R11" s="17"/>
      <c r="S11" s="11">
        <f t="shared" si="2"/>
        <v>4</v>
      </c>
    </row>
    <row r="12" ht="15.75" customHeight="1">
      <c r="A12" s="32" t="s">
        <v>27</v>
      </c>
      <c r="B12" s="11">
        <f t="shared" ref="B12:S12" si="3">SUM(B2:B11)</f>
        <v>1</v>
      </c>
      <c r="C12" s="11">
        <f t="shared" si="3"/>
        <v>1</v>
      </c>
      <c r="D12" s="11">
        <f t="shared" si="3"/>
        <v>0.5</v>
      </c>
      <c r="E12" s="11">
        <f t="shared" si="3"/>
        <v>1</v>
      </c>
      <c r="F12" s="11">
        <f t="shared" si="3"/>
        <v>1</v>
      </c>
      <c r="G12" s="11">
        <f t="shared" si="3"/>
        <v>4</v>
      </c>
      <c r="H12" s="11">
        <f t="shared" si="3"/>
        <v>6</v>
      </c>
      <c r="I12" s="11">
        <f t="shared" si="3"/>
        <v>10</v>
      </c>
      <c r="J12" s="11">
        <f t="shared" si="3"/>
        <v>4</v>
      </c>
      <c r="K12" s="11">
        <f t="shared" si="3"/>
        <v>2</v>
      </c>
      <c r="L12" s="11">
        <f t="shared" si="3"/>
        <v>4</v>
      </c>
      <c r="M12" s="11">
        <f t="shared" si="3"/>
        <v>4</v>
      </c>
      <c r="N12" s="11">
        <f t="shared" si="3"/>
        <v>2</v>
      </c>
      <c r="O12" s="11">
        <f t="shared" si="3"/>
        <v>2</v>
      </c>
      <c r="P12" s="11">
        <f t="shared" si="3"/>
        <v>0</v>
      </c>
      <c r="Q12" s="11">
        <f t="shared" si="3"/>
        <v>0</v>
      </c>
      <c r="R12" s="11">
        <f t="shared" si="3"/>
        <v>0</v>
      </c>
      <c r="S12" s="11">
        <f t="shared" si="3"/>
        <v>42.5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9" width="8.75"/>
  </cols>
  <sheetData>
    <row r="1" ht="15.75" customHeight="1">
      <c r="A1" s="30" t="s">
        <v>2</v>
      </c>
      <c r="B1" s="25">
        <f>Gantt!C2</f>
        <v>45936</v>
      </c>
      <c r="C1" s="25">
        <f t="shared" ref="C1:R1" si="1">B1+7</f>
        <v>45943</v>
      </c>
      <c r="D1" s="25">
        <f t="shared" si="1"/>
        <v>45950</v>
      </c>
      <c r="E1" s="25">
        <f t="shared" si="1"/>
        <v>45957</v>
      </c>
      <c r="F1" s="25">
        <f t="shared" si="1"/>
        <v>45964</v>
      </c>
      <c r="G1" s="25">
        <f t="shared" si="1"/>
        <v>45971</v>
      </c>
      <c r="H1" s="25">
        <f t="shared" si="1"/>
        <v>45978</v>
      </c>
      <c r="I1" s="25">
        <f t="shared" si="1"/>
        <v>45985</v>
      </c>
      <c r="J1" s="25">
        <f t="shared" si="1"/>
        <v>45992</v>
      </c>
      <c r="K1" s="25">
        <f t="shared" si="1"/>
        <v>45999</v>
      </c>
      <c r="L1" s="25">
        <f t="shared" si="1"/>
        <v>46006</v>
      </c>
      <c r="M1" s="25">
        <f t="shared" si="1"/>
        <v>46013</v>
      </c>
      <c r="N1" s="25">
        <f t="shared" si="1"/>
        <v>46020</v>
      </c>
      <c r="O1" s="25">
        <f t="shared" si="1"/>
        <v>46027</v>
      </c>
      <c r="P1" s="25">
        <f t="shared" si="1"/>
        <v>46034</v>
      </c>
      <c r="Q1" s="25">
        <f t="shared" si="1"/>
        <v>46041</v>
      </c>
      <c r="R1" s="25">
        <f t="shared" si="1"/>
        <v>46048</v>
      </c>
      <c r="S1" s="26" t="s">
        <v>27</v>
      </c>
    </row>
    <row r="2" ht="15.75" customHeight="1">
      <c r="A2" s="31" t="str">
        <f>Gantt!A3</f>
        <v>T1</v>
      </c>
      <c r="B2" s="33"/>
      <c r="C2" s="16">
        <v>1.0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34">
        <f t="shared" ref="S2:S11" si="2">SUM(B2:R2)</f>
        <v>1</v>
      </c>
    </row>
    <row r="3" ht="15.75" customHeight="1">
      <c r="A3" s="31" t="str">
        <f>Gantt!A4</f>
        <v>T2</v>
      </c>
      <c r="B3" s="33"/>
      <c r="C3" s="17"/>
      <c r="D3" s="17"/>
      <c r="E3" s="16">
        <v>0.5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1">
        <f t="shared" si="2"/>
        <v>0.5</v>
      </c>
    </row>
    <row r="4" ht="15.75" customHeight="1">
      <c r="A4" s="31" t="str">
        <f>Gantt!A5</f>
        <v>T3</v>
      </c>
      <c r="B4" s="17"/>
      <c r="C4" s="17"/>
      <c r="D4" s="17"/>
      <c r="E4" s="16">
        <v>2.5</v>
      </c>
      <c r="F4" s="17"/>
      <c r="G4" s="17"/>
      <c r="H4" s="17"/>
      <c r="I4" s="17"/>
      <c r="J4" s="17"/>
      <c r="K4" s="17"/>
      <c r="L4" s="17"/>
      <c r="M4" s="16">
        <v>1.0</v>
      </c>
      <c r="N4" s="17"/>
      <c r="O4" s="17"/>
      <c r="P4" s="17"/>
      <c r="Q4" s="17"/>
      <c r="R4" s="17"/>
      <c r="S4" s="11">
        <f t="shared" si="2"/>
        <v>3.5</v>
      </c>
    </row>
    <row r="5" ht="15.75" customHeight="1">
      <c r="A5" s="31" t="str">
        <f>Gantt!A6</f>
        <v>T4</v>
      </c>
      <c r="B5" s="17"/>
      <c r="C5" s="17"/>
      <c r="D5" s="17"/>
      <c r="E5" s="17"/>
      <c r="F5" s="17"/>
      <c r="G5" s="17"/>
      <c r="H5" s="17"/>
      <c r="I5" s="16"/>
      <c r="J5" s="17"/>
      <c r="K5" s="17"/>
      <c r="L5" s="17"/>
      <c r="M5" s="17"/>
      <c r="N5" s="16">
        <v>1.0</v>
      </c>
      <c r="O5" s="17"/>
      <c r="P5" s="17"/>
      <c r="Q5" s="17"/>
      <c r="R5" s="17"/>
      <c r="S5" s="11">
        <f t="shared" si="2"/>
        <v>1</v>
      </c>
    </row>
    <row r="6" ht="15.75" customHeight="1">
      <c r="A6" s="31" t="str">
        <f>Gantt!A7</f>
        <v>T5</v>
      </c>
      <c r="B6" s="17"/>
      <c r="C6" s="17"/>
      <c r="D6" s="17"/>
      <c r="E6" s="17"/>
      <c r="F6" s="17"/>
      <c r="G6" s="17"/>
      <c r="H6" s="16">
        <v>2.0</v>
      </c>
      <c r="I6" s="16">
        <v>2.0</v>
      </c>
      <c r="J6" s="17"/>
      <c r="K6" s="17"/>
      <c r="L6" s="17"/>
      <c r="M6" s="16">
        <v>1.0</v>
      </c>
      <c r="N6" s="16">
        <v>1.0</v>
      </c>
      <c r="O6" s="17"/>
      <c r="P6" s="17"/>
      <c r="Q6" s="17"/>
      <c r="R6" s="17"/>
      <c r="S6" s="11">
        <f t="shared" si="2"/>
        <v>6</v>
      </c>
    </row>
    <row r="7" ht="15.75" customHeight="1">
      <c r="A7" s="31" t="str">
        <f>Gantt!A8</f>
        <v>T6</v>
      </c>
      <c r="B7" s="17"/>
      <c r="C7" s="17"/>
      <c r="D7" s="17"/>
      <c r="E7" s="17"/>
      <c r="F7" s="17"/>
      <c r="G7" s="17"/>
      <c r="H7" s="16">
        <v>4.0</v>
      </c>
      <c r="I7" s="16">
        <v>3.0</v>
      </c>
      <c r="J7" s="16">
        <v>1.0</v>
      </c>
      <c r="K7" s="17"/>
      <c r="L7" s="17"/>
      <c r="M7" s="17"/>
      <c r="N7" s="16">
        <v>4.0</v>
      </c>
      <c r="O7" s="16"/>
      <c r="P7" s="17"/>
      <c r="Q7" s="17"/>
      <c r="R7" s="17"/>
      <c r="S7" s="11">
        <f t="shared" si="2"/>
        <v>12</v>
      </c>
    </row>
    <row r="8" ht="15.75" customHeight="1">
      <c r="A8" s="31" t="str">
        <f>Gantt!A9</f>
        <v>T7</v>
      </c>
      <c r="B8" s="17"/>
      <c r="C8" s="17"/>
      <c r="D8" s="17"/>
      <c r="E8" s="17"/>
      <c r="F8" s="17"/>
      <c r="G8" s="17"/>
      <c r="H8" s="17"/>
      <c r="I8" s="16"/>
      <c r="J8" s="17"/>
      <c r="K8" s="17"/>
      <c r="L8" s="16"/>
      <c r="M8" s="16"/>
      <c r="N8" s="17"/>
      <c r="O8" s="17"/>
      <c r="P8" s="17"/>
      <c r="Q8" s="17"/>
      <c r="R8" s="17"/>
      <c r="S8" s="11">
        <f t="shared" si="2"/>
        <v>0</v>
      </c>
    </row>
    <row r="9" ht="15.75" customHeight="1">
      <c r="A9" s="31" t="str">
        <f>Gantt!A10</f>
        <v>T8</v>
      </c>
      <c r="B9" s="17"/>
      <c r="C9" s="17"/>
      <c r="D9" s="17"/>
      <c r="E9" s="17"/>
      <c r="F9" s="17"/>
      <c r="G9" s="17"/>
      <c r="H9" s="17"/>
      <c r="I9" s="16">
        <v>2.0</v>
      </c>
      <c r="J9" s="16">
        <v>1.0</v>
      </c>
      <c r="K9" s="16">
        <v>1.0</v>
      </c>
      <c r="L9" s="17"/>
      <c r="M9" s="17"/>
      <c r="N9" s="17"/>
      <c r="O9" s="16">
        <v>1.0</v>
      </c>
      <c r="P9" s="17"/>
      <c r="Q9" s="17"/>
      <c r="R9" s="17"/>
      <c r="S9" s="11">
        <f t="shared" si="2"/>
        <v>5</v>
      </c>
    </row>
    <row r="10" ht="15.75" customHeight="1">
      <c r="A10" s="31" t="str">
        <f>Gantt!A11</f>
        <v>T9</v>
      </c>
      <c r="B10" s="17"/>
      <c r="C10" s="17"/>
      <c r="D10" s="17"/>
      <c r="E10" s="17"/>
      <c r="F10" s="17"/>
      <c r="G10" s="17"/>
      <c r="H10" s="17"/>
      <c r="I10" s="16">
        <v>4.0</v>
      </c>
      <c r="J10" s="16">
        <v>1.0</v>
      </c>
      <c r="K10" s="17"/>
      <c r="L10" s="16">
        <v>2.0</v>
      </c>
      <c r="M10" s="17"/>
      <c r="N10" s="16">
        <v>1.0</v>
      </c>
      <c r="O10" s="16">
        <v>2.0</v>
      </c>
      <c r="P10" s="16"/>
      <c r="Q10" s="17"/>
      <c r="R10" s="17"/>
      <c r="S10" s="11">
        <f t="shared" si="2"/>
        <v>10</v>
      </c>
    </row>
    <row r="11" ht="15.75" customHeight="1">
      <c r="A11" s="31" t="str">
        <f>Gantt!A12</f>
        <v>T10</v>
      </c>
      <c r="B11" s="17"/>
      <c r="C11" s="17"/>
      <c r="D11" s="17"/>
      <c r="E11" s="17"/>
      <c r="F11" s="17"/>
      <c r="G11" s="17"/>
      <c r="H11" s="17"/>
      <c r="I11" s="17"/>
      <c r="J11" s="17"/>
      <c r="K11" s="16">
        <v>2.0</v>
      </c>
      <c r="L11" s="17"/>
      <c r="M11" s="17"/>
      <c r="N11" s="17"/>
      <c r="O11" s="17"/>
      <c r="P11" s="17"/>
      <c r="Q11" s="17"/>
      <c r="R11" s="17"/>
      <c r="S11" s="11">
        <f t="shared" si="2"/>
        <v>2</v>
      </c>
    </row>
    <row r="12" ht="15.75" customHeight="1">
      <c r="A12" s="32" t="s">
        <v>27</v>
      </c>
      <c r="B12" s="11">
        <f t="shared" ref="B12:S12" si="3">SUM(B2:B11)</f>
        <v>0</v>
      </c>
      <c r="C12" s="11">
        <f t="shared" si="3"/>
        <v>1</v>
      </c>
      <c r="D12" s="11">
        <f t="shared" si="3"/>
        <v>0</v>
      </c>
      <c r="E12" s="11">
        <f t="shared" si="3"/>
        <v>3</v>
      </c>
      <c r="F12" s="11">
        <f t="shared" si="3"/>
        <v>0</v>
      </c>
      <c r="G12" s="11">
        <f t="shared" si="3"/>
        <v>0</v>
      </c>
      <c r="H12" s="11">
        <f t="shared" si="3"/>
        <v>6</v>
      </c>
      <c r="I12" s="11">
        <f t="shared" si="3"/>
        <v>11</v>
      </c>
      <c r="J12" s="11">
        <f t="shared" si="3"/>
        <v>3</v>
      </c>
      <c r="K12" s="11">
        <f t="shared" si="3"/>
        <v>3</v>
      </c>
      <c r="L12" s="11">
        <f t="shared" si="3"/>
        <v>2</v>
      </c>
      <c r="M12" s="11">
        <f t="shared" si="3"/>
        <v>2</v>
      </c>
      <c r="N12" s="11">
        <f t="shared" si="3"/>
        <v>7</v>
      </c>
      <c r="O12" s="11">
        <f t="shared" si="3"/>
        <v>3</v>
      </c>
      <c r="P12" s="11">
        <f t="shared" si="3"/>
        <v>0</v>
      </c>
      <c r="Q12" s="11">
        <f t="shared" si="3"/>
        <v>0</v>
      </c>
      <c r="R12" s="11">
        <f t="shared" si="3"/>
        <v>0</v>
      </c>
      <c r="S12" s="11">
        <f t="shared" si="3"/>
        <v>41</v>
      </c>
    </row>
  </sheetData>
  <printOptions/>
  <pageMargins bottom="0.75" footer="0.0" header="0.0" left="0.7" right="0.7" top="0.75"/>
  <pageSetup orientation="landscape"/>
  <drawing r:id="rId1"/>
</worksheet>
</file>